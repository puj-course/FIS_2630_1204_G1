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E3868097-7615-4756-ADA9-BA945D850BE5}" xr6:coauthVersionLast="47" xr6:coauthVersionMax="47" xr10:uidLastSave="{00000000-0000-0000-0000-000000000000}"/>
  <bookViews>
    <workbookView xWindow="-110" yWindow="-110" windowWidth="19420" windowHeight="11500" tabRatio="746" activeTab="2" xr2:uid="{00000000-000D-0000-FFFF-FFFF00000000}"/>
  </bookViews>
  <sheets>
    <sheet name="Actores" sheetId="3" r:id="rId1"/>
    <sheet name="Conceptos" sheetId="4" r:id="rId2"/>
    <sheet name="Requerimientos" sheetId="6" r:id="rId3"/>
  </sheets>
  <definedNames>
    <definedName name="Excel_BuiltIn__FilterDatabase_6">Requerimientos!$B$8:$E$19</definedName>
    <definedName name="Nombre">#REF!</definedName>
    <definedName name="Proyect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6" l="1"/>
  <c r="I29" i="6"/>
  <c r="J29" i="6"/>
  <c r="K29" i="6"/>
  <c r="G29" i="6"/>
  <c r="L29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Depto Sistemas</author>
    <author>JP</author>
  </authors>
  <commentList>
    <comment ref="A8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Use un código de tres letras o números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8" authorId="1" shapeId="0" xr:uid="{00000000-0006-0000-0400-000002000000}">
      <text>
        <r>
          <rPr>
            <b/>
            <sz val="8"/>
            <color indexed="8"/>
            <rFont val="Times New Roman"/>
            <family val="1"/>
          </rPr>
          <t>administrador:
F :</t>
        </r>
        <r>
          <rPr>
            <sz val="8"/>
            <color indexed="8"/>
            <rFont val="Times New Roman"/>
            <family val="1"/>
          </rPr>
          <t xml:space="preserve">  Funcional
</t>
        </r>
        <r>
          <rPr>
            <b/>
            <sz val="8"/>
            <color indexed="8"/>
            <rFont val="Times New Roman"/>
            <family val="1"/>
          </rPr>
          <t>U :</t>
        </r>
        <r>
          <rPr>
            <sz val="8"/>
            <color indexed="8"/>
            <rFont val="Times New Roman"/>
            <family val="1"/>
          </rPr>
          <t xml:space="preserve">  Facilidad de "Uso"
</t>
        </r>
        <r>
          <rPr>
            <b/>
            <sz val="8"/>
            <color indexed="8"/>
            <rFont val="Times New Roman"/>
            <family val="1"/>
          </rPr>
          <t xml:space="preserve">R : </t>
        </r>
        <r>
          <rPr>
            <sz val="8"/>
            <color indexed="8"/>
            <rFont val="Times New Roman"/>
            <family val="1"/>
          </rPr>
          <t xml:space="preserve"> Fiabilidad
</t>
        </r>
        <r>
          <rPr>
            <b/>
            <sz val="8"/>
            <color indexed="8"/>
            <rFont val="Times New Roman"/>
            <family val="1"/>
          </rPr>
          <t xml:space="preserve">P :  </t>
        </r>
        <r>
          <rPr>
            <sz val="8"/>
            <color indexed="8"/>
            <rFont val="Times New Roman"/>
            <family val="1"/>
          </rPr>
          <t xml:space="preserve"> Rendimiento
</t>
        </r>
        <r>
          <rPr>
            <b/>
            <sz val="8"/>
            <color indexed="8"/>
            <rFont val="Times New Roman"/>
            <family val="1"/>
          </rPr>
          <t>S :</t>
        </r>
        <r>
          <rPr>
            <sz val="8"/>
            <color indexed="8"/>
            <rFont val="Times New Roman"/>
            <family val="1"/>
          </rPr>
          <t xml:space="preserve">   Soporte
</t>
        </r>
        <r>
          <rPr>
            <b/>
            <sz val="8"/>
            <color indexed="8"/>
            <rFont val="Times New Roman"/>
            <family val="1"/>
          </rPr>
          <t>+ :</t>
        </r>
        <r>
          <rPr>
            <sz val="8"/>
            <color indexed="8"/>
            <rFont val="Times New Roman"/>
            <family val="1"/>
          </rPr>
          <t xml:space="preserve"> (Implementación, Interfaz, Empaquetamiento, Legales)</t>
        </r>
      </text>
    </comment>
  </commentList>
</comments>
</file>

<file path=xl/sharedStrings.xml><?xml version="1.0" encoding="utf-8"?>
<sst xmlns="http://schemas.openxmlformats.org/spreadsheetml/2006/main" count="130" uniqueCount="112">
  <si>
    <t>Descripción</t>
  </si>
  <si>
    <t>Código-Actor</t>
  </si>
  <si>
    <t>Actor-Rol</t>
  </si>
  <si>
    <t>Especificación de las necesidades identificadas en la situación problema</t>
  </si>
  <si>
    <t>ACT1</t>
  </si>
  <si>
    <t>CO1</t>
  </si>
  <si>
    <t>Responsabilidades / Objetivo</t>
  </si>
  <si>
    <t>ACT2</t>
  </si>
  <si>
    <t>ACT3</t>
  </si>
  <si>
    <t>ACT4</t>
  </si>
  <si>
    <t>ACT5</t>
  </si>
  <si>
    <t>ACT6</t>
  </si>
  <si>
    <t>ACT7</t>
  </si>
  <si>
    <t>ACT8</t>
  </si>
  <si>
    <t>ACT9</t>
  </si>
  <si>
    <t>ACT10</t>
  </si>
  <si>
    <t>A</t>
  </si>
  <si>
    <r>
      <t xml:space="preserve"> A</t>
    </r>
    <r>
      <rPr>
        <sz val="10"/>
        <color indexed="8"/>
        <rFont val="Trebuchet MS"/>
        <family val="2"/>
      </rPr>
      <t>ctores:</t>
    </r>
  </si>
  <si>
    <t>R10</t>
  </si>
  <si>
    <t>c</t>
  </si>
  <si>
    <t>CO2</t>
  </si>
  <si>
    <t>CO3</t>
  </si>
  <si>
    <t>CO4</t>
  </si>
  <si>
    <t>CO5</t>
  </si>
  <si>
    <t>CO6</t>
  </si>
  <si>
    <t>CO7</t>
  </si>
  <si>
    <t>CO8</t>
  </si>
  <si>
    <t>CO9</t>
  </si>
  <si>
    <t>CO10</t>
  </si>
  <si>
    <t>R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</si>
  <si>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</si>
  <si>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</si>
  <si>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</si>
  <si>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</si>
  <si>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</si>
  <si>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</si>
  <si>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</si>
  <si>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</si>
  <si>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</si>
  <si>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r>
      <t xml:space="preserve"> C</t>
    </r>
    <r>
      <rPr>
        <sz val="10"/>
        <color indexed="8"/>
        <rFont val="Verdana"/>
        <family val="2"/>
      </rPr>
      <t>onceptos</t>
    </r>
  </si>
  <si>
    <t>Roles o personas que interactúan directamente con el sistema.</t>
  </si>
  <si>
    <t>Concepto / Acción</t>
  </si>
  <si>
    <t>Código Concepto</t>
  </si>
  <si>
    <t>(no escribir aquí)</t>
  </si>
  <si>
    <t>ESPECIFICACIÓN DE REQUISITOS</t>
  </si>
  <si>
    <t>CÓDIGO</t>
  </si>
  <si>
    <t>TIPO DE REQUISITO (FURPS+)</t>
  </si>
  <si>
    <t>CONCISO</t>
  </si>
  <si>
    <t>NO-AMBIGUO</t>
  </si>
  <si>
    <t>CORRECTO</t>
  </si>
  <si>
    <t xml:space="preserve">VALORACIÓN DEL REVISOR </t>
  </si>
  <si>
    <t>R11</t>
  </si>
  <si>
    <t>R12</t>
  </si>
  <si>
    <t>R13</t>
  </si>
  <si>
    <t>R14</t>
  </si>
  <si>
    <t>R15</t>
  </si>
  <si>
    <t>&lt;&lt;El actor&gt;&gt;</t>
  </si>
  <si>
    <t>&lt;&lt;descripción / Objetivos del actor&gt;&gt;</t>
  </si>
  <si>
    <t>Diccionario de Datos / Principales conceptos, acciones, componentes, partes, objetos o sistemas que componen la situación problema</t>
  </si>
  <si>
    <t>Redacción</t>
  </si>
  <si>
    <t>Correcta categoria?</t>
  </si>
  <si>
    <t>0 a 5</t>
  </si>
  <si>
    <t>0 -1</t>
  </si>
  <si>
    <t>0 -2</t>
  </si>
  <si>
    <t>R16</t>
  </si>
  <si>
    <t>R17</t>
  </si>
  <si>
    <t>R18</t>
  </si>
  <si>
    <t>R19</t>
  </si>
  <si>
    <t>R20</t>
  </si>
  <si>
    <t>Alta, Media o Baja</t>
  </si>
  <si>
    <r>
      <t xml:space="preserve"> R</t>
    </r>
    <r>
      <rPr>
        <sz val="16"/>
        <color indexed="8"/>
        <rFont val="Verdana"/>
        <family val="2"/>
      </rPr>
      <t>equerimientos:</t>
    </r>
  </si>
  <si>
    <r>
      <t xml:space="preserve">PRIORIDAD
</t>
    </r>
    <r>
      <rPr>
        <i/>
        <sz val="16"/>
        <rFont val="Arial"/>
        <family val="2"/>
      </rPr>
      <t>Alta, Media, Baja</t>
    </r>
  </si>
  <si>
    <r>
      <t xml:space="preserve">ALCANZABLE
</t>
    </r>
    <r>
      <rPr>
        <i/>
        <sz val="16"/>
        <rFont val="Arial"/>
        <family val="2"/>
      </rPr>
      <t>(primera versión - opcional)</t>
    </r>
  </si>
  <si>
    <r>
      <t xml:space="preserve">MEDIBLE
</t>
    </r>
    <r>
      <rPr>
        <i/>
        <sz val="16"/>
        <rFont val="Arial"/>
        <family val="2"/>
      </rPr>
      <t>(primera versión - opcional)</t>
    </r>
  </si>
  <si>
    <r>
      <t xml:space="preserve">Código
</t>
    </r>
    <r>
      <rPr>
        <i/>
        <sz val="16"/>
        <rFont val="Arial"/>
        <family val="2"/>
      </rPr>
      <t>(del Req.)</t>
    </r>
  </si>
  <si>
    <r>
      <t xml:space="preserve">
</t>
    </r>
    <r>
      <rPr>
        <i/>
        <sz val="16"/>
        <rFont val="Arial"/>
        <family val="2"/>
      </rPr>
      <t>-</t>
    </r>
    <r>
      <rPr>
        <b/>
        <i/>
        <sz val="16"/>
        <color rgb="FFC00000"/>
        <rFont val="Arial"/>
        <family val="2"/>
      </rPr>
      <t>USAR</t>
    </r>
    <r>
      <rPr>
        <i/>
        <sz val="16"/>
        <rFont val="Arial"/>
        <family val="2"/>
      </rPr>
      <t xml:space="preserve"> la forma "</t>
    </r>
    <r>
      <rPr>
        <b/>
        <i/>
        <sz val="16"/>
        <rFont val="Arial"/>
        <family val="2"/>
      </rPr>
      <t>el sistema debe . . .</t>
    </r>
    <r>
      <rPr>
        <i/>
        <sz val="16"/>
        <rFont val="Arial"/>
        <family val="2"/>
      </rPr>
      <t xml:space="preserve">"
- </t>
    </r>
    <r>
      <rPr>
        <b/>
        <i/>
        <sz val="16"/>
        <color rgb="FFC00000"/>
        <rFont val="Arial"/>
        <family val="2"/>
      </rPr>
      <t>NO USAR</t>
    </r>
    <r>
      <rPr>
        <i/>
        <sz val="16"/>
        <rFont val="Arial"/>
        <family val="2"/>
      </rPr>
      <t>: "soportará", "no estará limitado a..", "etc", "y/o", "minimizar", "maximizar", "rápido", "amigable", "fácil", "suficiente", "adecuado"</t>
    </r>
  </si>
  <si>
    <r>
      <t>Explique por qué es factible hacerlo.
 (</t>
    </r>
    <r>
      <rPr>
        <i/>
        <sz val="16"/>
        <rFont val="Arial"/>
        <family val="2"/>
      </rPr>
      <t>Es decir, ve</t>
    </r>
    <r>
      <rPr>
        <sz val="16"/>
        <rFont val="Arial"/>
        <family val="2"/>
      </rPr>
      <t xml:space="preserve">rficar </t>
    </r>
    <r>
      <rPr>
        <i/>
        <sz val="16"/>
        <rFont val="Arial"/>
        <family val="2"/>
      </rPr>
      <t>que no se trata de algo inalcanzable!</t>
    </r>
    <r>
      <rPr>
        <sz val="16"/>
        <rFont val="Arial"/>
        <family val="2"/>
      </rPr>
      <t>)</t>
    </r>
  </si>
  <si>
    <r>
      <t>¿Cómo se cuantificará (</t>
    </r>
    <r>
      <rPr>
        <i/>
        <u/>
        <sz val="16"/>
        <rFont val="Arial"/>
        <family val="2"/>
      </rPr>
      <t>unidad de medida</t>
    </r>
    <r>
      <rPr>
        <sz val="16"/>
        <rFont val="Arial"/>
        <family val="2"/>
      </rPr>
      <t>) el requisito para verificar que se dará por cumplido?</t>
    </r>
  </si>
  <si>
    <t>El sistema debe permitir al usuario registrar una orden de despacho indicando cliente, producto, cantidad, fecha de despacho y dirección de entrega.</t>
  </si>
  <si>
    <t>Alta</t>
  </si>
  <si>
    <t>Es factible, ya que se trata de un CRUD (Crear, Leer, Actualizar y Borrar) con campos definidos y validaciones estándar.</t>
  </si>
  <si>
    <t>Se medirá por la cantidad de órdenes de despacho registradas exitosamente en el sistema, con todos los campos obligatorios completos.</t>
  </si>
  <si>
    <t>Funcional</t>
  </si>
  <si>
    <t>El sistema debe generar un número de seguimiento único para cada orden de despacho registrada.</t>
  </si>
  <si>
    <t>Factible, mediante un algoritmo de numeración correlativa o UUID.</t>
  </si>
  <si>
    <t>Se verificará que cada orden tenga un número único, comprobable en la base de datos.</t>
  </si>
  <si>
    <t>El sistema debe permitir actualizar el estado de una orden de despacho a: "Pendiente", "En tránsito", "Entregado" o "Cancelado".</t>
  </si>
  <si>
    <t>Factible, mediante un campo de estado y una interfaz donde se pueda actualizar.</t>
  </si>
  <si>
    <t>Se medirá por la cantidad de cambios de estado registrados correctamente y reflejados en el historial de la orden.</t>
  </si>
  <si>
    <t>Media</t>
  </si>
  <si>
    <t>El sistema debe mostrar un listado de todas las órdenes de despacho con filtros por fecha, cliente y estado.</t>
  </si>
  <si>
    <t>Factible, usando consultas parametrizadas en la base de datos.</t>
  </si>
  <si>
    <t>Se verificará que los filtros devuelvan los resultados correctos en menos de 3 segundos para hasta 10,000 registros.</t>
  </si>
  <si>
    <t>El sistema debe generar un reporte en PDF con el detalle de una orden de despacho específica.</t>
  </si>
  <si>
    <t>Factible, utilizando una librería de generación de PDF</t>
  </si>
  <si>
    <t>Se medirá por la correcta generación del PDF con todos los datos de la orden y formato definido.</t>
  </si>
  <si>
    <t xml:space="preserve">	El sistema debe generar un reporte de despachos por cliente que incluya el total de órdenes y productos despachados en un período de tiempo.</t>
  </si>
  <si>
    <t>El sistema debe mostrar el número de lote y fecha de vencimiento de los productos en la orden de despacho.</t>
  </si>
  <si>
    <t>El sistema debe registrar en un log de auditoría cada acción realizada sobre las órdenes de despacho (creación, actualización, cancelación).</t>
  </si>
  <si>
    <t xml:space="preserve">	El sistema debe validar que la cantidad de productos despachados no supere el stock disponible por lote en el momento del registro.</t>
  </si>
  <si>
    <t>El sistema debe mostrar un mensaje de confirmación antes de finalizar el registro de una orden de despacho</t>
  </si>
  <si>
    <t>Baja</t>
  </si>
  <si>
    <t>Factible, mediante un cuadro de diálogo en la interfaz de usuario.</t>
  </si>
  <si>
    <t>Se medirá verificando que el sistema muestre siempre el mensaje de confirmación antes de guardar la orden.</t>
  </si>
  <si>
    <t>Se medirá por la cantidad de intentos de despacho con stock insuficiente que sean bloqueados correctamente.</t>
  </si>
  <si>
    <t xml:space="preserve">	Factible, consultando el inventario por lote en tiempo real.</t>
  </si>
  <si>
    <t>Factible, mediante triggers o interceptores en la capa de servicio.</t>
  </si>
  <si>
    <t>Se medirá verificando que cada acción quede registrada con usuario, fecha, hora y tipo de operación.</t>
  </si>
  <si>
    <t>Se medirá verificando que cada orden de despacho muestre correctamente el lote y fecha de vencimiento del producto despachado.</t>
  </si>
  <si>
    <t xml:space="preserve">	Factible, ya que estos datos están en el inventario y solo se muestran al momento del despacho.</t>
  </si>
  <si>
    <t>Se medirá verificando que el reporte muestre correctamente los totales de órdenes y productos por cada cliente en el período seleccionado.</t>
  </si>
  <si>
    <t>Factible, usando consultas SQL agrupadas por cliente y rango de fechas.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</si>
</sst>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7" x14ac:knownFonts="1">
    <font>
      <sz val="10"/>
      <name val="Arial"/>
    </font>
    <font>
      <b/>
      <sz val="10"/>
      <color indexed="8"/>
      <name val="Verdana"/>
      <family val="2"/>
    </font>
    <font>
      <sz val="10"/>
      <color indexed="8"/>
      <name val="Verdana"/>
      <family val="2"/>
    </font>
    <font>
      <sz val="7.5"/>
      <color indexed="57"/>
      <name val="Verdana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Trebuchet MS"/>
      <family val="2"/>
    </font>
    <font>
      <b/>
      <sz val="10"/>
      <color indexed="8"/>
      <name val="Trebuchet MS"/>
      <family val="2"/>
    </font>
    <font>
      <sz val="10"/>
      <color indexed="8"/>
      <name val="Trebuchet MS"/>
      <family val="2"/>
    </font>
    <font>
      <b/>
      <sz val="7.5"/>
      <color indexed="57"/>
      <name val="Trebuchet MS"/>
      <family val="2"/>
    </font>
    <font>
      <sz val="7.5"/>
      <color indexed="57"/>
      <name val="Trebuchet MS"/>
      <family val="2"/>
    </font>
    <font>
      <b/>
      <sz val="8"/>
      <name val="Trebuchet MS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26"/>
      <color indexed="9"/>
      <name val="Trebuchet MS"/>
      <family val="2"/>
    </font>
    <font>
      <b/>
      <sz val="26"/>
      <name val="Arial"/>
      <family val="2"/>
    </font>
    <font>
      <b/>
      <sz val="8"/>
      <color indexed="8"/>
      <name val="Times New Roman"/>
      <family val="1"/>
    </font>
    <font>
      <sz val="8"/>
      <color indexed="8"/>
      <name val="Times New Roman"/>
      <family val="1"/>
    </font>
    <font>
      <sz val="11"/>
      <name val="Arial"/>
      <family val="2"/>
    </font>
    <font>
      <i/>
      <sz val="10"/>
      <color rgb="FF0070C0"/>
      <name val="Trebuchet MS"/>
      <family val="2"/>
    </font>
    <font>
      <sz val="12"/>
      <color theme="0"/>
      <name val="Arial"/>
      <family val="2"/>
    </font>
    <font>
      <b/>
      <sz val="14"/>
      <color theme="0"/>
      <name val="Arial"/>
      <family val="2"/>
    </font>
    <font>
      <b/>
      <sz val="16"/>
      <name val="Arial"/>
      <family val="2"/>
    </font>
    <font>
      <b/>
      <sz val="16"/>
      <color indexed="8"/>
      <name val="Verdana"/>
      <family val="2"/>
    </font>
    <font>
      <sz val="16"/>
      <color indexed="8"/>
      <name val="Verdana"/>
      <family val="2"/>
    </font>
    <font>
      <sz val="16"/>
      <name val="Arial"/>
      <family val="2"/>
    </font>
    <font>
      <b/>
      <sz val="16"/>
      <color indexed="57"/>
      <name val="Verdana"/>
      <family val="2"/>
    </font>
    <font>
      <i/>
      <sz val="16"/>
      <name val="Arial"/>
      <family val="2"/>
    </font>
    <font>
      <b/>
      <sz val="16"/>
      <color theme="0"/>
      <name val="Verdana"/>
      <family val="2"/>
    </font>
    <font>
      <b/>
      <sz val="16"/>
      <name val="Verdana"/>
      <family val="2"/>
    </font>
    <font>
      <b/>
      <sz val="16"/>
      <color theme="0"/>
      <name val="Arial"/>
      <family val="2"/>
    </font>
    <font>
      <b/>
      <i/>
      <sz val="16"/>
      <color rgb="FFC00000"/>
      <name val="Arial"/>
      <family val="2"/>
    </font>
    <font>
      <b/>
      <i/>
      <sz val="16"/>
      <name val="Arial"/>
      <family val="2"/>
    </font>
    <font>
      <i/>
      <u/>
      <sz val="16"/>
      <name val="Arial"/>
      <family val="2"/>
    </font>
    <font>
      <u/>
      <sz val="16"/>
      <name val="Arial"/>
      <family val="2"/>
    </font>
    <font>
      <sz val="12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10"/>
        <bgColor indexed="51"/>
      </patternFill>
    </fill>
    <fill>
      <patternFill patternType="solid">
        <fgColor indexed="57"/>
        <bgColor indexed="39"/>
      </patternFill>
    </fill>
    <fill>
      <patternFill patternType="solid">
        <fgColor indexed="57"/>
        <bgColor indexed="64"/>
      </patternFill>
    </fill>
    <fill>
      <patternFill patternType="solid">
        <fgColor indexed="48"/>
        <bgColor indexed="33"/>
      </patternFill>
    </fill>
    <fill>
      <patternFill patternType="solid">
        <fgColor indexed="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26"/>
      </patternFill>
    </fill>
    <fill>
      <patternFill patternType="solid">
        <fgColor rgb="FFFFC000"/>
        <bgColor indexed="13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26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70C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7" fillId="0" borderId="0" xfId="0" applyFont="1"/>
    <xf numFmtId="0" fontId="10" fillId="0" borderId="0" xfId="0" applyFont="1" applyAlignment="1">
      <alignment horizontal="left"/>
    </xf>
    <xf numFmtId="0" fontId="0" fillId="0" borderId="1" xfId="0" applyBorder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5" fillId="2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1" fillId="4" borderId="0" xfId="0" applyFont="1" applyFill="1"/>
    <xf numFmtId="0" fontId="7" fillId="4" borderId="0" xfId="0" applyFont="1" applyFill="1"/>
    <xf numFmtId="0" fontId="3" fillId="5" borderId="0" xfId="0" applyFont="1" applyFill="1"/>
    <xf numFmtId="0" fontId="0" fillId="5" borderId="0" xfId="0" applyFill="1"/>
    <xf numFmtId="0" fontId="0" fillId="0" borderId="0" xfId="0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9" fillId="0" borderId="0" xfId="0" applyFont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9" borderId="0" xfId="0" applyFill="1" applyAlignment="1">
      <alignment vertical="center" wrapText="1"/>
    </xf>
    <xf numFmtId="0" fontId="21" fillId="13" borderId="0" xfId="0" applyFont="1" applyFill="1" applyAlignment="1">
      <alignment horizontal="center" vertical="center" wrapText="1"/>
    </xf>
    <xf numFmtId="164" fontId="22" fillId="16" borderId="7" xfId="0" applyNumberFormat="1" applyFont="1" applyFill="1" applyBorder="1" applyAlignment="1">
      <alignment horizontal="center" vertical="center" wrapText="1"/>
    </xf>
    <xf numFmtId="0" fontId="5" fillId="15" borderId="19" xfId="0" applyFont="1" applyFill="1" applyBorder="1" applyAlignment="1">
      <alignment horizontal="center" vertical="center" wrapText="1"/>
    </xf>
    <xf numFmtId="0" fontId="5" fillId="15" borderId="9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5" borderId="8" xfId="0" applyFont="1" applyFill="1" applyBorder="1" applyAlignment="1">
      <alignment horizontal="center" vertical="center" wrapText="1"/>
    </xf>
    <xf numFmtId="0" fontId="5" fillId="15" borderId="20" xfId="0" applyFont="1" applyFill="1" applyBorder="1" applyAlignment="1">
      <alignment horizontal="center" vertical="center" wrapText="1"/>
    </xf>
    <xf numFmtId="0" fontId="5" fillId="15" borderId="16" xfId="0" applyFont="1" applyFill="1" applyBorder="1" applyAlignment="1">
      <alignment horizontal="center" vertical="center" wrapText="1"/>
    </xf>
    <xf numFmtId="0" fontId="5" fillId="15" borderId="22" xfId="0" applyFont="1" applyFill="1" applyBorder="1" applyAlignment="1">
      <alignment horizontal="center" vertical="center" wrapText="1"/>
    </xf>
    <xf numFmtId="0" fontId="5" fillId="15" borderId="17" xfId="0" applyFont="1" applyFill="1" applyBorder="1" applyAlignment="1">
      <alignment horizontal="center" vertical="center" wrapText="1"/>
    </xf>
    <xf numFmtId="0" fontId="5" fillId="15" borderId="21" xfId="0" applyFont="1" applyFill="1" applyBorder="1" applyAlignment="1">
      <alignment horizontal="center" vertical="center" wrapText="1"/>
    </xf>
    <xf numFmtId="0" fontId="5" fillId="15" borderId="18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3" fillId="8" borderId="3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26" fillId="0" borderId="0" xfId="0" applyFont="1" applyAlignment="1">
      <alignment vertical="center" wrapText="1"/>
    </xf>
    <xf numFmtId="0" fontId="27" fillId="0" borderId="0" xfId="0" applyFont="1" applyAlignment="1">
      <alignment vertical="center" wrapText="1"/>
    </xf>
    <xf numFmtId="0" fontId="30" fillId="10" borderId="1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 wrapText="1"/>
    </xf>
    <xf numFmtId="0" fontId="31" fillId="13" borderId="9" xfId="0" applyFont="1" applyFill="1" applyBorder="1" applyAlignment="1">
      <alignment horizontal="center" vertical="center" wrapText="1"/>
    </xf>
    <xf numFmtId="0" fontId="31" fillId="13" borderId="19" xfId="0" applyFont="1" applyFill="1" applyBorder="1" applyAlignment="1">
      <alignment horizontal="center" vertical="center" wrapText="1"/>
    </xf>
    <xf numFmtId="0" fontId="31" fillId="13" borderId="20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left" vertical="center" wrapText="1"/>
    </xf>
    <xf numFmtId="0" fontId="28" fillId="11" borderId="1" xfId="0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center" vertical="center" wrapText="1"/>
    </xf>
    <xf numFmtId="0" fontId="26" fillId="12" borderId="8" xfId="0" applyFont="1" applyFill="1" applyBorder="1" applyAlignment="1">
      <alignment horizontal="left" vertical="center" wrapText="1"/>
    </xf>
    <xf numFmtId="0" fontId="35" fillId="14" borderId="19" xfId="0" applyFont="1" applyFill="1" applyBorder="1" applyAlignment="1">
      <alignment horizontal="center" vertical="center" wrapText="1"/>
    </xf>
    <xf numFmtId="0" fontId="35" fillId="14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29" fillId="7" borderId="23" xfId="0" applyFont="1" applyFill="1" applyBorder="1" applyAlignment="1">
      <alignment horizontal="center" vertical="center" wrapText="1"/>
    </xf>
    <xf numFmtId="0" fontId="29" fillId="7" borderId="25" xfId="0" applyFont="1" applyFill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8" fillId="0" borderId="26" xfId="0" applyFont="1" applyBorder="1" applyAlignment="1">
      <alignment horizontal="center" vertical="center" wrapText="1"/>
    </xf>
    <xf numFmtId="0" fontId="28" fillId="0" borderId="27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23" xfId="0" applyFont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  <pageSetUpPr fitToPage="1"/>
  </sheetPr>
  <dimension ref="A1:C14"/>
  <sheetViews>
    <sheetView zoomScale="85" zoomScaleNormal="85" workbookViewId="0">
      <selection activeCell="C11" sqref="C11"/>
    </sheetView>
  </sheetViews>
  <sheetFormatPr baseColWidth="10" defaultColWidth="10.81640625" defaultRowHeight="13.5" x14ac:dyDescent="0.35"/>
  <cols>
    <col min="1" max="1" width="12.6328125" style="1" customWidth="1"/>
    <col min="2" max="2" width="32.6328125" style="1" customWidth="1"/>
    <col min="3" max="3" width="59.6328125" style="1" customWidth="1"/>
    <col min="4" max="16384" width="10.81640625" style="1"/>
  </cols>
  <sheetData>
    <row r="1" spans="1:3" s="4" customFormat="1" ht="30" customHeight="1" thickBot="1" x14ac:dyDescent="0.3">
      <c r="A1" s="6" t="s">
        <v>16</v>
      </c>
      <c r="B1" s="5" t="s">
        <v>17</v>
      </c>
    </row>
    <row r="2" spans="1:3" ht="16" customHeight="1" thickTop="1" x14ac:dyDescent="0.35">
      <c r="A2" s="2" t="s">
        <v>40</v>
      </c>
    </row>
    <row r="3" spans="1:3" ht="14" thickBot="1" x14ac:dyDescent="0.4">
      <c r="A3" s="14"/>
      <c r="B3" s="15"/>
      <c r="C3" s="15"/>
    </row>
    <row r="4" spans="1:3" ht="30" customHeight="1" thickBot="1" x14ac:dyDescent="0.4">
      <c r="A4" s="7" t="s">
        <v>1</v>
      </c>
      <c r="B4" s="8" t="s">
        <v>2</v>
      </c>
      <c r="C4" s="9" t="s">
        <v>6</v>
      </c>
    </row>
    <row r="5" spans="1:3" ht="40" customHeight="1" x14ac:dyDescent="0.35">
      <c r="A5" s="12" t="s">
        <v>4</v>
      </c>
      <c r="B5" s="26" t="s">
        <v>56</v>
      </c>
      <c r="C5" s="27" t="s">
        <v>57</v>
      </c>
    </row>
    <row r="6" spans="1:3" ht="40" customHeight="1" x14ac:dyDescent="0.35">
      <c r="A6" s="10" t="s">
        <v>7</v>
      </c>
      <c r="B6" s="10"/>
      <c r="C6" s="11"/>
    </row>
    <row r="7" spans="1:3" ht="40" customHeight="1" x14ac:dyDescent="0.35">
      <c r="A7" s="10" t="s">
        <v>8</v>
      </c>
      <c r="B7" s="10"/>
      <c r="C7" s="11"/>
    </row>
    <row r="8" spans="1:3" ht="40" customHeight="1" x14ac:dyDescent="0.35">
      <c r="A8" s="10" t="s">
        <v>9</v>
      </c>
      <c r="B8" s="10"/>
      <c r="C8" s="11"/>
    </row>
    <row r="9" spans="1:3" ht="40" customHeight="1" x14ac:dyDescent="0.35">
      <c r="A9" s="10" t="s">
        <v>10</v>
      </c>
      <c r="B9" s="10"/>
      <c r="C9" s="11"/>
    </row>
    <row r="10" spans="1:3" ht="40" customHeight="1" x14ac:dyDescent="0.35">
      <c r="A10" s="10" t="s">
        <v>11</v>
      </c>
      <c r="B10" s="10"/>
      <c r="C10" s="11"/>
    </row>
    <row r="11" spans="1:3" ht="40" customHeight="1" x14ac:dyDescent="0.35">
      <c r="A11" s="10" t="s">
        <v>12</v>
      </c>
      <c r="B11" s="10"/>
      <c r="C11" s="11"/>
    </row>
    <row r="12" spans="1:3" ht="40" customHeight="1" x14ac:dyDescent="0.35">
      <c r="A12" s="10" t="s">
        <v>13</v>
      </c>
      <c r="B12" s="10"/>
      <c r="C12" s="11"/>
    </row>
    <row r="13" spans="1:3" ht="40" customHeight="1" x14ac:dyDescent="0.35">
      <c r="A13" s="10" t="s">
        <v>14</v>
      </c>
      <c r="B13" s="10"/>
      <c r="C13" s="11"/>
    </row>
    <row r="14" spans="1:3" ht="40" customHeight="1" x14ac:dyDescent="0.35">
      <c r="A14" s="10" t="s">
        <v>15</v>
      </c>
      <c r="B14" s="10"/>
      <c r="C14" s="11"/>
    </row>
  </sheetData>
  <pageMargins left="0.74791666666666667" right="0.74791666666666667" top="0.98402777777777772" bottom="0.98402777777777772" header="0.51180555555555551" footer="0.51180555555555551"/>
  <pageSetup scale="98" firstPageNumber="0" orientation="landscape" r:id="rId1"/>
  <headerFooter alignWithMargins="0">
    <oddFooter>&amp;L&amp;"Trebuchet MS,Normal"&amp;8Pontificia Universidad Javeriana&amp;C&amp;"Trebuchet MS,Normal"&amp;8&amp;D-&amp;P/&amp;N&amp;R&amp;"Trebuchet MS,Normal"&amp;8Ingeniería de Sistemas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7"/>
    <pageSetUpPr fitToPage="1"/>
  </sheetPr>
  <dimension ref="A1:C14"/>
  <sheetViews>
    <sheetView workbookViewId="0">
      <selection activeCell="E8" sqref="E8"/>
    </sheetView>
  </sheetViews>
  <sheetFormatPr baseColWidth="10" defaultColWidth="10.81640625" defaultRowHeight="12.5" x14ac:dyDescent="0.25"/>
  <cols>
    <col min="1" max="1" width="12.6328125" customWidth="1"/>
    <col min="2" max="2" width="21" customWidth="1"/>
    <col min="3" max="3" width="76.36328125" customWidth="1"/>
  </cols>
  <sheetData>
    <row r="1" spans="1:3" s="18" customFormat="1" ht="30" customHeight="1" thickBot="1" x14ac:dyDescent="0.3">
      <c r="A1" s="19" t="s">
        <v>19</v>
      </c>
      <c r="B1" s="25" t="s">
        <v>39</v>
      </c>
    </row>
    <row r="2" spans="1:3" ht="16" customHeight="1" thickTop="1" x14ac:dyDescent="0.3">
      <c r="A2" s="2" t="s">
        <v>58</v>
      </c>
    </row>
    <row r="3" spans="1:3" ht="13" thickBot="1" x14ac:dyDescent="0.3">
      <c r="A3" s="16"/>
      <c r="B3" s="17"/>
      <c r="C3" s="17"/>
    </row>
    <row r="4" spans="1:3" ht="30" customHeight="1" thickBot="1" x14ac:dyDescent="0.3">
      <c r="A4" s="22" t="s">
        <v>42</v>
      </c>
      <c r="B4" s="23" t="s">
        <v>41</v>
      </c>
      <c r="C4" s="24" t="s">
        <v>0</v>
      </c>
    </row>
    <row r="5" spans="1:3" ht="40" customHeight="1" x14ac:dyDescent="0.25">
      <c r="A5" s="21" t="s">
        <v>5</v>
      </c>
      <c r="B5" s="21"/>
      <c r="C5" s="21"/>
    </row>
    <row r="6" spans="1:3" ht="40" customHeight="1" x14ac:dyDescent="0.25">
      <c r="A6" s="20" t="s">
        <v>20</v>
      </c>
      <c r="B6" s="21"/>
      <c r="C6" s="20"/>
    </row>
    <row r="7" spans="1:3" ht="40" customHeight="1" x14ac:dyDescent="0.25">
      <c r="A7" s="20" t="s">
        <v>21</v>
      </c>
      <c r="B7" s="20"/>
      <c r="C7" s="20"/>
    </row>
    <row r="8" spans="1:3" ht="40" customHeight="1" x14ac:dyDescent="0.25">
      <c r="A8" s="20" t="s">
        <v>22</v>
      </c>
      <c r="B8" s="3"/>
      <c r="C8" s="3"/>
    </row>
    <row r="9" spans="1:3" ht="40" customHeight="1" x14ac:dyDescent="0.25">
      <c r="A9" s="20" t="s">
        <v>23</v>
      </c>
      <c r="B9" s="3"/>
      <c r="C9" s="3"/>
    </row>
    <row r="10" spans="1:3" ht="40" customHeight="1" x14ac:dyDescent="0.25">
      <c r="A10" s="20" t="s">
        <v>24</v>
      </c>
      <c r="B10" s="3"/>
      <c r="C10" s="3"/>
    </row>
    <row r="11" spans="1:3" ht="40" customHeight="1" x14ac:dyDescent="0.25">
      <c r="A11" s="20" t="s">
        <v>25</v>
      </c>
      <c r="B11" s="3"/>
      <c r="C11" s="3"/>
    </row>
    <row r="12" spans="1:3" ht="40" customHeight="1" x14ac:dyDescent="0.25">
      <c r="A12" s="20" t="s">
        <v>26</v>
      </c>
      <c r="B12" s="3"/>
      <c r="C12" s="3"/>
    </row>
    <row r="13" spans="1:3" ht="40" customHeight="1" x14ac:dyDescent="0.25">
      <c r="A13" s="20" t="s">
        <v>27</v>
      </c>
      <c r="B13" s="3"/>
      <c r="C13" s="3"/>
    </row>
    <row r="14" spans="1:3" ht="40" customHeight="1" x14ac:dyDescent="0.25">
      <c r="A14" s="20" t="s">
        <v>28</v>
      </c>
      <c r="B14" s="3"/>
      <c r="C14" s="3"/>
    </row>
  </sheetData>
  <pageMargins left="0.74791666666666667" right="0.74791666666666667" top="0.98402777777777772" bottom="0.98402777777777772" header="0.51180555555555551" footer="0.51180555555555551"/>
  <pageSetup scale="99" firstPageNumber="0" orientation="landscape" r:id="rId1"/>
  <headerFooter alignWithMargins="0">
    <oddFooter>&amp;L&amp;"Trebuchet MS,Normal"&amp;8Pontificia Universidad Javeriana&amp;C&amp;"Trebuchet MS,Normal"&amp;8&amp;D-&amp;P/&amp;N&amp;R&amp;"Trebuchet MS,Normal"&amp;8Ingeniería de Sistemas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2" tint="-0.499984740745262"/>
    <pageSetUpPr fitToPage="1"/>
  </sheetPr>
  <dimension ref="A1:L62"/>
  <sheetViews>
    <sheetView tabSelected="1" topLeftCell="A8" zoomScale="75" workbookViewId="0">
      <selection activeCell="F14" sqref="F14:F18"/>
    </sheetView>
  </sheetViews>
  <sheetFormatPr baseColWidth="10" defaultColWidth="10.81640625" defaultRowHeight="12.5" x14ac:dyDescent="0.25"/>
  <cols>
    <col min="1" max="1" width="15.1796875" style="28" customWidth="1"/>
    <col min="2" max="2" width="88.453125" style="28" customWidth="1"/>
    <col min="3" max="3" width="16.1796875" style="28" customWidth="1"/>
    <col min="4" max="4" width="35.1796875" style="28" bestFit="1" customWidth="1"/>
    <col min="5" max="5" width="31" style="28" customWidth="1"/>
    <col min="6" max="6" width="32.6328125" style="28" customWidth="1"/>
    <col min="7" max="9" width="14.6328125" style="32" customWidth="1"/>
    <col min="10" max="10" width="17.36328125" style="32" customWidth="1"/>
    <col min="11" max="11" width="17.81640625" style="32" customWidth="1"/>
    <col min="12" max="12" width="11.453125" style="28" bestFit="1" customWidth="1"/>
    <col min="13" max="16384" width="10.81640625" style="28"/>
  </cols>
  <sheetData>
    <row r="1" spans="1:12" ht="30" customHeight="1" thickBot="1" x14ac:dyDescent="0.3">
      <c r="A1" s="46" t="s">
        <v>29</v>
      </c>
      <c r="B1" s="47" t="s">
        <v>70</v>
      </c>
      <c r="C1" s="48"/>
      <c r="D1" s="48"/>
      <c r="E1" s="48"/>
      <c r="F1" s="48"/>
      <c r="G1" s="76" t="s">
        <v>50</v>
      </c>
      <c r="H1" s="77"/>
      <c r="I1" s="77"/>
      <c r="J1" s="77"/>
      <c r="K1" s="78"/>
      <c r="L1" s="48"/>
    </row>
    <row r="2" spans="1:12" ht="20" customHeight="1" thickTop="1" x14ac:dyDescent="0.25">
      <c r="A2" s="49" t="s">
        <v>3</v>
      </c>
      <c r="B2" s="48"/>
      <c r="C2" s="48"/>
      <c r="D2" s="48"/>
      <c r="E2" s="48"/>
      <c r="F2" s="48"/>
      <c r="G2" s="79"/>
      <c r="H2" s="80"/>
      <c r="I2" s="80"/>
      <c r="J2" s="80"/>
      <c r="K2" s="81"/>
      <c r="L2" s="48"/>
    </row>
    <row r="3" spans="1:12" ht="16" customHeight="1" x14ac:dyDescent="0.25">
      <c r="A3" s="49"/>
      <c r="B3" s="48"/>
      <c r="C3" s="48"/>
      <c r="D3" s="48"/>
      <c r="E3" s="48"/>
      <c r="F3" s="48"/>
      <c r="G3" s="67" t="s">
        <v>43</v>
      </c>
      <c r="H3" s="68"/>
      <c r="I3" s="68"/>
      <c r="J3" s="68"/>
      <c r="K3" s="69"/>
      <c r="L3" s="48"/>
    </row>
    <row r="4" spans="1:12" ht="16" customHeight="1" x14ac:dyDescent="0.25">
      <c r="A4" s="49"/>
      <c r="B4" s="48"/>
      <c r="C4" s="48"/>
      <c r="D4" s="48"/>
      <c r="E4" s="48"/>
      <c r="F4" s="48"/>
      <c r="G4" s="70"/>
      <c r="H4" s="71"/>
      <c r="I4" s="71"/>
      <c r="J4" s="71"/>
      <c r="K4" s="72"/>
      <c r="L4" s="48"/>
    </row>
    <row r="5" spans="1:12" ht="16" customHeight="1" x14ac:dyDescent="0.25">
      <c r="A5" s="49"/>
      <c r="B5" s="48"/>
      <c r="C5" s="48"/>
      <c r="D5" s="48"/>
      <c r="E5" s="48"/>
      <c r="F5" s="48"/>
      <c r="G5" s="73"/>
      <c r="H5" s="74"/>
      <c r="I5" s="74"/>
      <c r="J5" s="74"/>
      <c r="K5" s="75"/>
      <c r="L5" s="48"/>
    </row>
    <row r="6" spans="1:12" ht="20" x14ac:dyDescent="0.25">
      <c r="A6" s="65"/>
      <c r="B6" s="65"/>
      <c r="C6" s="65"/>
      <c r="D6" s="65"/>
      <c r="E6" s="65"/>
      <c r="F6" s="65"/>
      <c r="G6" s="65"/>
      <c r="H6" s="65"/>
      <c r="I6" s="65"/>
      <c r="J6" s="65"/>
      <c r="K6" s="66"/>
      <c r="L6" s="48"/>
    </row>
    <row r="7" spans="1:12" ht="34.5" customHeight="1" x14ac:dyDescent="0.25">
      <c r="A7" s="50" t="s">
        <v>45</v>
      </c>
      <c r="B7" s="51" t="s">
        <v>44</v>
      </c>
      <c r="C7" s="51" t="s">
        <v>71</v>
      </c>
      <c r="D7" s="51" t="s">
        <v>72</v>
      </c>
      <c r="E7" s="51" t="s">
        <v>73</v>
      </c>
      <c r="F7" s="51" t="s">
        <v>46</v>
      </c>
      <c r="G7" s="52" t="s">
        <v>59</v>
      </c>
      <c r="H7" s="53" t="s">
        <v>60</v>
      </c>
      <c r="I7" s="52" t="s">
        <v>48</v>
      </c>
      <c r="J7" s="54" t="s">
        <v>47</v>
      </c>
      <c r="K7" s="55" t="s">
        <v>49</v>
      </c>
      <c r="L7" s="48"/>
    </row>
    <row r="8" spans="1:12" s="29" customFormat="1" ht="169.25" customHeight="1" x14ac:dyDescent="0.25">
      <c r="A8" s="56" t="s">
        <v>74</v>
      </c>
      <c r="B8" s="57" t="s">
        <v>75</v>
      </c>
      <c r="C8" s="58" t="s">
        <v>69</v>
      </c>
      <c r="D8" s="59" t="s">
        <v>76</v>
      </c>
      <c r="E8" s="59" t="s">
        <v>77</v>
      </c>
      <c r="F8" s="60"/>
      <c r="G8" s="61" t="s">
        <v>61</v>
      </c>
      <c r="H8" s="62" t="s">
        <v>63</v>
      </c>
      <c r="I8" s="62" t="s">
        <v>62</v>
      </c>
      <c r="J8" s="62" t="s">
        <v>62</v>
      </c>
      <c r="K8" s="62" t="s">
        <v>62</v>
      </c>
      <c r="L8" s="48"/>
    </row>
    <row r="9" spans="1:12" ht="82.5" customHeight="1" x14ac:dyDescent="0.25">
      <c r="A9" s="20" t="s">
        <v>30</v>
      </c>
      <c r="B9" s="63" t="s">
        <v>78</v>
      </c>
      <c r="C9" s="63" t="s">
        <v>79</v>
      </c>
      <c r="D9" s="45" t="s">
        <v>80</v>
      </c>
      <c r="E9" s="45" t="s">
        <v>81</v>
      </c>
      <c r="F9" s="63" t="s">
        <v>82</v>
      </c>
      <c r="G9" s="35">
        <v>0</v>
      </c>
      <c r="H9" s="36">
        <v>0</v>
      </c>
      <c r="I9" s="37">
        <v>0</v>
      </c>
      <c r="J9" s="38">
        <v>0</v>
      </c>
      <c r="K9" s="39">
        <v>0</v>
      </c>
    </row>
    <row r="10" spans="1:12" ht="66.5" customHeight="1" x14ac:dyDescent="0.25">
      <c r="A10" s="20" t="s">
        <v>31</v>
      </c>
      <c r="B10" s="63" t="s">
        <v>83</v>
      </c>
      <c r="C10" s="63" t="s">
        <v>79</v>
      </c>
      <c r="D10" s="64" t="s">
        <v>84</v>
      </c>
      <c r="E10" s="45" t="s">
        <v>85</v>
      </c>
      <c r="F10" s="63" t="s">
        <v>82</v>
      </c>
      <c r="G10" s="35"/>
      <c r="H10" s="36"/>
      <c r="I10" s="37"/>
      <c r="J10" s="38"/>
      <c r="K10" s="39"/>
    </row>
    <row r="11" spans="1:12" ht="71.5" customHeight="1" x14ac:dyDescent="0.25">
      <c r="A11" s="20" t="s">
        <v>32</v>
      </c>
      <c r="B11" s="63" t="s">
        <v>86</v>
      </c>
      <c r="C11" s="63" t="s">
        <v>79</v>
      </c>
      <c r="D11" s="64" t="s">
        <v>87</v>
      </c>
      <c r="E11" s="45" t="s">
        <v>88</v>
      </c>
      <c r="F11" s="63" t="s">
        <v>82</v>
      </c>
      <c r="G11" s="35"/>
      <c r="H11" s="36"/>
      <c r="I11" s="37"/>
      <c r="J11" s="38"/>
      <c r="K11" s="39"/>
    </row>
    <row r="12" spans="1:12" ht="70.5" customHeight="1" x14ac:dyDescent="0.25">
      <c r="A12" s="20" t="s">
        <v>33</v>
      </c>
      <c r="B12" s="63" t="s">
        <v>90</v>
      </c>
      <c r="C12" s="63" t="s">
        <v>89</v>
      </c>
      <c r="D12" s="64" t="s">
        <v>91</v>
      </c>
      <c r="E12" s="45" t="s">
        <v>92</v>
      </c>
      <c r="F12" s="63" t="s">
        <v>82</v>
      </c>
      <c r="G12" s="35"/>
      <c r="H12" s="36"/>
      <c r="I12" s="37"/>
      <c r="J12" s="38"/>
      <c r="K12" s="39"/>
    </row>
    <row r="13" spans="1:12" ht="64" customHeight="1" x14ac:dyDescent="0.25">
      <c r="A13" s="20" t="s">
        <v>34</v>
      </c>
      <c r="B13" s="63" t="s">
        <v>93</v>
      </c>
      <c r="C13" s="63" t="s">
        <v>89</v>
      </c>
      <c r="D13" s="64" t="s">
        <v>94</v>
      </c>
      <c r="E13" s="45" t="s">
        <v>95</v>
      </c>
      <c r="F13" s="63" t="s">
        <v>82</v>
      </c>
      <c r="G13" s="35"/>
      <c r="H13" s="36"/>
      <c r="I13" s="37"/>
      <c r="J13" s="38"/>
      <c r="K13" s="39"/>
    </row>
    <row r="14" spans="1:12" ht="100.5" customHeight="1" x14ac:dyDescent="0.25">
      <c r="A14" s="20" t="s">
        <v>35</v>
      </c>
      <c r="B14" s="63" t="s">
        <v>96</v>
      </c>
      <c r="C14" s="63" t="s">
        <v>89</v>
      </c>
      <c r="D14" s="64" t="s">
        <v>111</v>
      </c>
      <c r="E14" s="45" t="s">
        <v>110</v>
      </c>
      <c r="F14" s="63" t="s">
        <v>82</v>
      </c>
      <c r="G14" s="36"/>
      <c r="H14" s="36"/>
      <c r="I14" s="37"/>
      <c r="J14" s="38"/>
      <c r="K14" s="39"/>
    </row>
    <row r="15" spans="1:12" ht="76" customHeight="1" x14ac:dyDescent="0.25">
      <c r="A15" s="20" t="s">
        <v>36</v>
      </c>
      <c r="B15" s="63" t="s">
        <v>97</v>
      </c>
      <c r="C15" s="63" t="s">
        <v>89</v>
      </c>
      <c r="D15" s="64" t="s">
        <v>109</v>
      </c>
      <c r="E15" s="45" t="s">
        <v>108</v>
      </c>
      <c r="F15" s="63" t="s">
        <v>82</v>
      </c>
      <c r="G15" s="36"/>
      <c r="H15" s="36"/>
      <c r="I15" s="37"/>
      <c r="J15" s="38"/>
      <c r="K15" s="39"/>
    </row>
    <row r="16" spans="1:12" ht="60.5" customHeight="1" x14ac:dyDescent="0.25">
      <c r="A16" s="20" t="s">
        <v>37</v>
      </c>
      <c r="B16" s="63" t="s">
        <v>98</v>
      </c>
      <c r="C16" s="63" t="s">
        <v>79</v>
      </c>
      <c r="D16" s="64" t="s">
        <v>106</v>
      </c>
      <c r="E16" s="45" t="s">
        <v>107</v>
      </c>
      <c r="F16" s="63" t="s">
        <v>82</v>
      </c>
      <c r="G16" s="36"/>
      <c r="H16" s="36"/>
      <c r="I16" s="37"/>
      <c r="J16" s="38"/>
      <c r="K16" s="39"/>
    </row>
    <row r="17" spans="1:12" ht="67.5" customHeight="1" x14ac:dyDescent="0.25">
      <c r="A17" s="20" t="s">
        <v>38</v>
      </c>
      <c r="B17" s="63" t="s">
        <v>99</v>
      </c>
      <c r="C17" s="63" t="s">
        <v>79</v>
      </c>
      <c r="D17" s="64" t="s">
        <v>105</v>
      </c>
      <c r="E17" s="45" t="s">
        <v>104</v>
      </c>
      <c r="F17" s="63" t="s">
        <v>82</v>
      </c>
      <c r="G17" s="35"/>
      <c r="H17" s="36"/>
      <c r="I17" s="37"/>
      <c r="J17" s="38"/>
      <c r="K17" s="39"/>
    </row>
    <row r="18" spans="1:12" ht="71.5" customHeight="1" x14ac:dyDescent="0.25">
      <c r="A18" s="20" t="s">
        <v>18</v>
      </c>
      <c r="B18" s="63" t="s">
        <v>100</v>
      </c>
      <c r="C18" s="63" t="s">
        <v>101</v>
      </c>
      <c r="D18" s="64" t="s">
        <v>102</v>
      </c>
      <c r="E18" s="45" t="s">
        <v>103</v>
      </c>
      <c r="F18" s="63" t="s">
        <v>82</v>
      </c>
      <c r="G18" s="35"/>
      <c r="H18" s="36"/>
      <c r="I18" s="37"/>
      <c r="J18" s="38"/>
      <c r="K18" s="39"/>
    </row>
    <row r="19" spans="1:12" ht="50" customHeight="1" x14ac:dyDescent="0.25">
      <c r="A19" s="20" t="s">
        <v>51</v>
      </c>
      <c r="B19" s="20"/>
      <c r="C19" s="13"/>
      <c r="D19" s="13"/>
      <c r="E19" s="13"/>
      <c r="F19" s="45"/>
      <c r="G19" s="35"/>
      <c r="H19" s="36"/>
      <c r="I19" s="37"/>
      <c r="J19" s="38"/>
      <c r="K19" s="39"/>
    </row>
    <row r="20" spans="1:12" ht="50" customHeight="1" x14ac:dyDescent="0.25">
      <c r="A20" s="20" t="s">
        <v>52</v>
      </c>
      <c r="B20" s="20"/>
      <c r="C20" s="31"/>
      <c r="D20" s="31"/>
      <c r="E20" s="31"/>
      <c r="F20" s="45"/>
      <c r="G20" s="35"/>
      <c r="H20" s="36"/>
      <c r="I20" s="37"/>
      <c r="J20" s="38"/>
      <c r="K20" s="39"/>
    </row>
    <row r="21" spans="1:12" ht="50" customHeight="1" x14ac:dyDescent="0.25">
      <c r="A21" s="20" t="s">
        <v>53</v>
      </c>
      <c r="B21" s="20"/>
      <c r="C21" s="31"/>
      <c r="D21" s="31"/>
      <c r="E21" s="31"/>
      <c r="F21" s="30"/>
      <c r="G21" s="35"/>
      <c r="H21" s="36"/>
      <c r="I21" s="37"/>
      <c r="J21" s="38"/>
      <c r="K21" s="39"/>
    </row>
    <row r="22" spans="1:12" ht="50" customHeight="1" x14ac:dyDescent="0.25">
      <c r="A22" s="20" t="s">
        <v>54</v>
      </c>
      <c r="B22" s="20"/>
      <c r="C22" s="31"/>
      <c r="D22" s="31"/>
      <c r="E22" s="31"/>
      <c r="F22" s="30"/>
      <c r="G22" s="35"/>
      <c r="H22" s="36"/>
      <c r="I22" s="37"/>
      <c r="J22" s="38"/>
      <c r="K22" s="39"/>
    </row>
    <row r="23" spans="1:12" ht="50" customHeight="1" x14ac:dyDescent="0.25">
      <c r="A23" s="20" t="s">
        <v>55</v>
      </c>
      <c r="B23" s="20"/>
      <c r="C23" s="31"/>
      <c r="D23" s="31"/>
      <c r="E23" s="31"/>
      <c r="F23" s="30"/>
      <c r="G23" s="35"/>
      <c r="H23" s="36"/>
      <c r="I23" s="37"/>
      <c r="J23" s="38"/>
      <c r="K23" s="39"/>
    </row>
    <row r="24" spans="1:12" ht="50" customHeight="1" x14ac:dyDescent="0.25">
      <c r="A24" s="20" t="s">
        <v>64</v>
      </c>
      <c r="B24" s="20"/>
      <c r="C24" s="13"/>
      <c r="D24" s="13"/>
      <c r="E24" s="13"/>
      <c r="F24" s="30"/>
      <c r="G24" s="35"/>
      <c r="H24" s="36"/>
      <c r="I24" s="37"/>
      <c r="J24" s="38"/>
      <c r="K24" s="39"/>
    </row>
    <row r="25" spans="1:12" ht="50" customHeight="1" x14ac:dyDescent="0.25">
      <c r="A25" s="20" t="s">
        <v>65</v>
      </c>
      <c r="B25" s="20"/>
      <c r="C25" s="31"/>
      <c r="D25" s="31"/>
      <c r="E25" s="31"/>
      <c r="F25" s="30"/>
      <c r="G25" s="35"/>
      <c r="H25" s="36"/>
      <c r="I25" s="37"/>
      <c r="J25" s="38"/>
      <c r="K25" s="39"/>
    </row>
    <row r="26" spans="1:12" ht="50" customHeight="1" x14ac:dyDescent="0.25">
      <c r="A26" s="20" t="s">
        <v>66</v>
      </c>
      <c r="B26" s="20"/>
      <c r="C26" s="31"/>
      <c r="D26" s="31"/>
      <c r="E26" s="31"/>
      <c r="F26" s="30"/>
      <c r="G26" s="35"/>
      <c r="H26" s="36"/>
      <c r="I26" s="37"/>
      <c r="J26" s="38"/>
      <c r="K26" s="39"/>
    </row>
    <row r="27" spans="1:12" ht="50" customHeight="1" x14ac:dyDescent="0.25">
      <c r="A27" s="20" t="s">
        <v>67</v>
      </c>
      <c r="B27" s="20"/>
      <c r="C27" s="31"/>
      <c r="D27" s="31"/>
      <c r="E27" s="31"/>
      <c r="F27" s="30"/>
      <c r="G27" s="35"/>
      <c r="H27" s="36"/>
      <c r="I27" s="37"/>
      <c r="J27" s="38"/>
      <c r="K27" s="39"/>
    </row>
    <row r="28" spans="1:12" ht="50" customHeight="1" thickBot="1" x14ac:dyDescent="0.3">
      <c r="A28" s="20" t="s">
        <v>68</v>
      </c>
      <c r="B28" s="20"/>
      <c r="C28" s="31"/>
      <c r="D28" s="31"/>
      <c r="E28" s="31"/>
      <c r="F28" s="30"/>
      <c r="G28" s="40"/>
      <c r="H28" s="41"/>
      <c r="I28" s="42"/>
      <c r="J28" s="43"/>
      <c r="K28" s="44"/>
    </row>
    <row r="29" spans="1:12" ht="27" customHeight="1" thickBot="1" x14ac:dyDescent="0.3">
      <c r="G29" s="33">
        <f>AVERAGE(G9:G28)</f>
        <v>0</v>
      </c>
      <c r="H29" s="33">
        <f t="shared" ref="H29:K29" si="0">AVERAGE(H9:H28)</f>
        <v>0</v>
      </c>
      <c r="I29" s="33">
        <f t="shared" si="0"/>
        <v>0</v>
      </c>
      <c r="J29" s="33">
        <f t="shared" si="0"/>
        <v>0</v>
      </c>
      <c r="K29" s="33">
        <f t="shared" si="0"/>
        <v>0</v>
      </c>
      <c r="L29" s="34">
        <f>SUM(G29:K29)/2</f>
        <v>0</v>
      </c>
    </row>
    <row r="30" spans="1:12" x14ac:dyDescent="0.25">
      <c r="G30" s="28"/>
      <c r="H30" s="28"/>
      <c r="I30" s="28"/>
      <c r="J30" s="28"/>
      <c r="K30" s="28"/>
    </row>
    <row r="31" spans="1:12" x14ac:dyDescent="0.25">
      <c r="G31" s="28"/>
      <c r="H31" s="28"/>
      <c r="I31" s="28"/>
      <c r="J31" s="28"/>
      <c r="K31" s="28"/>
    </row>
    <row r="32" spans="1:12" x14ac:dyDescent="0.25">
      <c r="G32" s="28"/>
      <c r="H32" s="28"/>
      <c r="I32" s="28"/>
      <c r="J32" s="28"/>
      <c r="K32" s="28"/>
    </row>
    <row r="33" s="28" customFormat="1" x14ac:dyDescent="0.25"/>
    <row r="34" s="28" customFormat="1" x14ac:dyDescent="0.25"/>
    <row r="35" s="28" customFormat="1" x14ac:dyDescent="0.25"/>
    <row r="36" s="28" customFormat="1" x14ac:dyDescent="0.25"/>
    <row r="37" s="28" customFormat="1" x14ac:dyDescent="0.25"/>
    <row r="38" s="28" customFormat="1" x14ac:dyDescent="0.25"/>
    <row r="39" s="28" customFormat="1" x14ac:dyDescent="0.25"/>
    <row r="40" s="28" customFormat="1" x14ac:dyDescent="0.25"/>
    <row r="41" s="28" customFormat="1" x14ac:dyDescent="0.25"/>
    <row r="42" s="28" customFormat="1" x14ac:dyDescent="0.25"/>
    <row r="43" s="28" customFormat="1" x14ac:dyDescent="0.25"/>
    <row r="44" s="28" customFormat="1" x14ac:dyDescent="0.25"/>
    <row r="45" s="28" customFormat="1" x14ac:dyDescent="0.25"/>
    <row r="46" s="28" customFormat="1" x14ac:dyDescent="0.25"/>
    <row r="47" s="28" customFormat="1" x14ac:dyDescent="0.25"/>
    <row r="48" s="28" customFormat="1" x14ac:dyDescent="0.25"/>
    <row r="49" s="28" customFormat="1" x14ac:dyDescent="0.25"/>
    <row r="50" s="28" customFormat="1" x14ac:dyDescent="0.25"/>
    <row r="51" s="28" customFormat="1" x14ac:dyDescent="0.25"/>
    <row r="52" s="28" customFormat="1" x14ac:dyDescent="0.25"/>
    <row r="53" s="28" customFormat="1" x14ac:dyDescent="0.25"/>
    <row r="54" s="28" customFormat="1" x14ac:dyDescent="0.25"/>
    <row r="55" s="28" customFormat="1" x14ac:dyDescent="0.25"/>
    <row r="56" s="28" customFormat="1" x14ac:dyDescent="0.25"/>
    <row r="57" s="28" customFormat="1" x14ac:dyDescent="0.25"/>
    <row r="58" s="28" customFormat="1" x14ac:dyDescent="0.25"/>
    <row r="59" s="28" customFormat="1" x14ac:dyDescent="0.25"/>
    <row r="60" s="28" customFormat="1" x14ac:dyDescent="0.25"/>
    <row r="61" s="28" customFormat="1" x14ac:dyDescent="0.25"/>
    <row r="62" s="28" customFormat="1" x14ac:dyDescent="0.25"/>
  </sheetData>
  <mergeCells count="3">
    <mergeCell ref="A6:K6"/>
    <mergeCell ref="G3:K5"/>
    <mergeCell ref="G1:K2"/>
  </mergeCells>
  <printOptions horizontalCentered="1" verticalCentered="1"/>
  <pageMargins left="0.19685039370078741" right="0.19685039370078741" top="0.48" bottom="0.52" header="0.28000000000000003" footer="0.26"/>
  <pageSetup scale="54" firstPageNumber="0" orientation="landscape" horizontalDpi="300" verticalDpi="300" r:id="rId1"/>
  <headerFooter alignWithMargins="0">
    <oddFooter>&amp;L&amp;"Trebuchet MS,Normal"&amp;8Pontificia Universidad Javeriana&amp;C&amp;"Trebuchet MS,Normal"&amp;8&amp;D-&amp;P/&amp;N&amp;R&amp;"Trebuchet MS,Normal"&amp;8Ingeniería de Sistemas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481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Actores</vt:lpstr>
      <vt:lpstr>Conceptos</vt:lpstr>
      <vt:lpstr>Requerimientos</vt:lpstr>
      <vt:lpstr>Excel_BuiltIn__FilterDatabase_6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Valentina Carrillo Peñuela</cp:lastModifiedBy>
  <cp:revision>97</cp:revision>
  <cp:lastPrinted>2023-01-25T22:35:02Z</cp:lastPrinted>
  <dcterms:created xsi:type="dcterms:W3CDTF">2005-02-16T13:56:51Z</dcterms:created>
  <dcterms:modified xsi:type="dcterms:W3CDTF">2026-08-23T20:56:58Z</dcterms:modified>
</cp:coreProperties>
</file>