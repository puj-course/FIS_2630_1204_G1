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07B09797-2328-4942-A546-526005A3E327}" xr6:coauthVersionLast="47" xr6:coauthVersionMax="47" xr10:uidLastSave="{00000000-0000-0000-0000-000000000000}"/>
  <bookViews>
    <workbookView xWindow="-108" yWindow="-108" windowWidth="23256" windowHeight="12456" tabRatio="746" xr2:uid="{00000000-000D-0000-FFFF-FFFF00000000}"/>
  </bookViews>
  <sheets>
    <sheet name="Requerimientos" sheetId="6" r:id="rId1"/>
    <sheet name="Actores" sheetId="3" r:id="rId2"/>
    <sheet name="Conceptos" sheetId="4" r:id="rId3"/>
  </sheets>
  <definedNames>
    <definedName name="Excel_BuiltIn__FilterDatabase_6">Requerimientos!$B$8:$E$19</definedName>
    <definedName name="Nombre">#REF!</definedName>
    <definedName name="Proyec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I29" i="6"/>
  <c r="J29" i="6"/>
  <c r="K29" i="6"/>
  <c r="G29" i="6"/>
  <c r="L2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Depto Sistemas</author>
    <author>JP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Use un código de tres letras o números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" authorId="1" shapeId="0" xr:uid="{00000000-0006-0000-0400-000002000000}">
      <text>
        <r>
          <rPr>
            <b/>
            <sz val="8"/>
            <color indexed="8"/>
            <rFont val="Times New Roman"/>
            <family val="1"/>
          </rPr>
          <t>administrador:
F :</t>
        </r>
        <r>
          <rPr>
            <sz val="8"/>
            <color indexed="8"/>
            <rFont val="Times New Roman"/>
            <family val="1"/>
          </rPr>
          <t xml:space="preserve">  Funcional
</t>
        </r>
        <r>
          <rPr>
            <b/>
            <sz val="8"/>
            <color indexed="8"/>
            <rFont val="Times New Roman"/>
            <family val="1"/>
          </rPr>
          <t>U :</t>
        </r>
        <r>
          <rPr>
            <sz val="8"/>
            <color indexed="8"/>
            <rFont val="Times New Roman"/>
            <family val="1"/>
          </rPr>
          <t xml:space="preserve">  Facilidad de "Uso"
</t>
        </r>
        <r>
          <rPr>
            <b/>
            <sz val="8"/>
            <color indexed="8"/>
            <rFont val="Times New Roman"/>
            <family val="1"/>
          </rPr>
          <t xml:space="preserve">R : </t>
        </r>
        <r>
          <rPr>
            <sz val="8"/>
            <color indexed="8"/>
            <rFont val="Times New Roman"/>
            <family val="1"/>
          </rPr>
          <t xml:space="preserve"> Fiabilidad
</t>
        </r>
        <r>
          <rPr>
            <b/>
            <sz val="8"/>
            <color indexed="8"/>
            <rFont val="Times New Roman"/>
            <family val="1"/>
          </rPr>
          <t xml:space="preserve">P :  </t>
        </r>
        <r>
          <rPr>
            <sz val="8"/>
            <color indexed="8"/>
            <rFont val="Times New Roman"/>
            <family val="1"/>
          </rPr>
          <t xml:space="preserve"> Rendimiento
</t>
        </r>
        <r>
          <rPr>
            <b/>
            <sz val="8"/>
            <color indexed="8"/>
            <rFont val="Times New Roman"/>
            <family val="1"/>
          </rPr>
          <t>S :</t>
        </r>
        <r>
          <rPr>
            <sz val="8"/>
            <color indexed="8"/>
            <rFont val="Times New Roman"/>
            <family val="1"/>
          </rPr>
          <t xml:space="preserve">   Soporte
</t>
        </r>
        <r>
          <rPr>
            <b/>
            <sz val="8"/>
            <color indexed="8"/>
            <rFont val="Times New Roman"/>
            <family val="1"/>
          </rPr>
          <t>+ :</t>
        </r>
        <r>
          <rPr>
            <sz val="8"/>
            <color indexed="8"/>
            <rFont val="Times New Roman"/>
            <family val="1"/>
          </rPr>
          <t xml:space="preserve"> (Implementación, Interfaz, Empaquetamiento, Legales)</t>
        </r>
      </text>
    </comment>
  </commentList>
</comments>
</file>

<file path=xl/sharedStrings.xml><?xml version="1.0" encoding="utf-8"?>
<sst xmlns="http://schemas.openxmlformats.org/spreadsheetml/2006/main" count="332" uniqueCount="247">
  <si>
    <t>Descripción</t>
  </si>
  <si>
    <t>Código-Actor</t>
  </si>
  <si>
    <t>Actor-Rol</t>
  </si>
  <si>
    <t>Especificación de las necesidades identificadas en la situación problema</t>
  </si>
  <si>
    <t>ACT1</t>
  </si>
  <si>
    <t>CO1</t>
  </si>
  <si>
    <t>Responsabilidades / Objetivo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</si>
  <si>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</si>
  <si>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</si>
  <si>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</si>
  <si>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</si>
  <si>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</si>
  <si>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</si>
  <si>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</si>
  <si>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</si>
  <si>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</si>
  <si>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</t>
  </si>
  <si>
    <r>
      <t xml:space="preserve"> A</t>
    </r>
    <r>
      <rPr>
        <sz val="10"/>
        <color indexed="8"/>
        <rFont val="Trebuchet MS"/>
        <family val="2"/>
      </rPr>
      <t>ctores:</t>
    </r>
  </si>
  <si>
    <t>R10</t>
  </si>
  <si>
    <t>c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</si>
  <si>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</si>
  <si>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</si>
  <si>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</si>
  <si>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</si>
  <si>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</si>
  <si>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</si>
  <si>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</si>
  <si>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</si>
  <si>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</si>
  <si>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R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</si>
  <si>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</si>
  <si>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</si>
  <si>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</si>
  <si>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</si>
  <si>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</si>
  <si>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</si>
  <si>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</si>
  <si>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</si>
  <si>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</si>
  <si>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r>
      <t xml:space="preserve"> C</t>
    </r>
    <r>
      <rPr>
        <sz val="10"/>
        <color indexed="8"/>
        <rFont val="Verdana"/>
        <family val="2"/>
      </rPr>
      <t>onceptos</t>
    </r>
  </si>
  <si>
    <t>Roles o personas que interactúan directamente con el sistema.</t>
  </si>
  <si>
    <t>Concepto / Acción</t>
  </si>
  <si>
    <t>Código Concepto</t>
  </si>
  <si>
    <t>(no escribir aquí)</t>
  </si>
  <si>
    <t>ESPECIFICACIÓN DE REQUISITOS</t>
  </si>
  <si>
    <t>CÓDIGO</t>
  </si>
  <si>
    <t>TIPO DE REQUISITO (FURPS+)</t>
  </si>
  <si>
    <t>CONCISO</t>
  </si>
  <si>
    <t>NO-AMBIGUO</t>
  </si>
  <si>
    <t>CORRECTO</t>
  </si>
  <si>
    <t xml:space="preserve">VALORACIÓN DEL REVISOR </t>
  </si>
  <si>
    <t>R11</t>
  </si>
  <si>
    <t>R12</t>
  </si>
  <si>
    <t>R13</t>
  </si>
  <si>
    <t>R14</t>
  </si>
  <si>
    <t>R15</t>
  </si>
  <si>
    <t>&lt;&lt;El actor&gt;&gt;</t>
  </si>
  <si>
    <t>&lt;&lt;descripción / Objetivos del actor&gt;&gt;</t>
  </si>
  <si>
    <t>Diccionario de Datos / Principales conceptos, acciones, componentes, partes, objetos o sistemas que componen la situación problema</t>
  </si>
  <si>
    <t>Redacción</t>
  </si>
  <si>
    <t>Correcta categoria?</t>
  </si>
  <si>
    <t>0 a 5</t>
  </si>
  <si>
    <t>0 -1</t>
  </si>
  <si>
    <t>0 -2</t>
  </si>
  <si>
    <t>R16</t>
  </si>
  <si>
    <t>R17</t>
  </si>
  <si>
    <t>R18</t>
  </si>
  <si>
    <t>R19</t>
  </si>
  <si>
    <t>R20</t>
  </si>
  <si>
    <t>Alta, Media o Baja</t>
  </si>
  <si>
    <r>
      <t xml:space="preserve"> R</t>
    </r>
    <r>
      <rPr>
        <sz val="16"/>
        <color indexed="8"/>
        <rFont val="Verdana"/>
        <family val="2"/>
      </rPr>
      <t>equerimientos:</t>
    </r>
  </si>
  <si>
    <t>El sistema debe permitir al usuario registrar una orden de despacho indicando cliente, producto, cantidad, fecha de despacho y dirección de entrega.</t>
  </si>
  <si>
    <t>Alta</t>
  </si>
  <si>
    <t>Es factible, ya que se trata de un CRUD (Crear, Leer, Actualizar y Borrar) con campos definidos y validaciones estándar.</t>
  </si>
  <si>
    <t>Se medirá por la cantidad de órdenes de despacho registradas exitosamente en el sistema, con todos los campos obligatorios completos.</t>
  </si>
  <si>
    <t>Funcional</t>
  </si>
  <si>
    <t>El sistema debe generar un número de seguimiento único para cada orden de despacho registrada.</t>
  </si>
  <si>
    <t>Factible, mediante un algoritmo de numeración correlativa o UUID.</t>
  </si>
  <si>
    <t>Se verificará que cada orden tenga un número único, comprobable en la base de datos.</t>
  </si>
  <si>
    <t>El sistema debe permitir actualizar el estado de una orden de despacho a: "Pendiente", "En tránsito", "Entregado" o "Cancelado".</t>
  </si>
  <si>
    <t>Factible, mediante un campo de estado y una interfaz donde se pueda actualizar.</t>
  </si>
  <si>
    <t>Se medirá por la cantidad de cambios de estado registrados correctamente y reflejados en el historial de la orden.</t>
  </si>
  <si>
    <t>Media</t>
  </si>
  <si>
    <t>El sistema debe mostrar un listado de todas las órdenes de despacho con filtros por fecha, cliente y estado.</t>
  </si>
  <si>
    <t>Factible, usando consultas parametrizadas en la base de datos.</t>
  </si>
  <si>
    <t>Se verificará que los filtros devuelvan los resultados correctos en menos de 3 segundos para hasta 10,000 registros.</t>
  </si>
  <si>
    <t>El sistema debe generar un reporte en PDF con el detalle de una orden de despacho específica.</t>
  </si>
  <si>
    <t>Factible, utilizando una librería de generación de PDF</t>
  </si>
  <si>
    <t>Se medirá por la correcta generación del PDF con todos los datos de la orden y formato definido.</t>
  </si>
  <si>
    <t xml:space="preserve">	El sistema debe generar un reporte de despachos por cliente que incluya el total de órdenes y productos despachados en un período de tiempo.</t>
  </si>
  <si>
    <t>El sistema debe mostrar el número de lote y fecha de vencimiento de los productos en la orden de despacho.</t>
  </si>
  <si>
    <t>El sistema debe registrar en un log de auditoría cada acción realizada sobre las órdenes de despacho (creación, actualización, cancelación).</t>
  </si>
  <si>
    <t xml:space="preserve">	El sistema debe validar que la cantidad de productos despachados no supere el stock disponible por lote en el momento del registro.</t>
  </si>
  <si>
    <t>El sistema debe mostrar un mensaje de confirmación antes de finalizar el registro de una orden de despacho</t>
  </si>
  <si>
    <t>Baja</t>
  </si>
  <si>
    <t>Factible, mediante un cuadro de diálogo en la interfaz de usuario.</t>
  </si>
  <si>
    <t>Se medirá verificando que el sistema muestre siempre el mensaje de confirmación antes de guardar la orden.</t>
  </si>
  <si>
    <t>Se medirá por la cantidad de intentos de despacho con stock insuficiente que sean bloqueados correctamente.</t>
  </si>
  <si>
    <t xml:space="preserve">	Factible, consultando el inventario por lote en tiempo real.</t>
  </si>
  <si>
    <t>Factible, mediante triggers o interceptores en la capa de servicio.</t>
  </si>
  <si>
    <t>Se medirá verificando que cada acción quede registrada con usuario, fecha, hora y tipo de operación.</t>
  </si>
  <si>
    <t>Se medirá verificando que cada orden de despacho muestre correctamente el lote y fecha de vencimiento del producto despachado.</t>
  </si>
  <si>
    <t xml:space="preserve">	Factible, ya que estos datos están en el inventario y solo se muestran al momento del despacho.</t>
  </si>
  <si>
    <t>Se medirá verificando que el reporte muestre correctamente los totales de órdenes y productos por cada cliente en el período seleccionado.</t>
  </si>
  <si>
    <t>Factible, usando consultas SQL agrupadas por cliente y rango de fechas.</t>
  </si>
  <si>
    <t>El sistema debe aplicar automáticamente el principio FEFO (First Expired, First Out) sugiriendo el lote más próximo a vencer al momento de registrar un despacho.</t>
  </si>
  <si>
    <t>Factible, mediante ordenamiento por fecha de vencimiento (`ORDER BY fecha_vencimiento ASC`) en la consulta de stock.</t>
  </si>
  <si>
    <t>Se verificará que en el 100% de los despachos el sistema seleccione por defecto el lote con la fecha de caducidad más cercana.</t>
  </si>
  <si>
    <t>El sistema debe permitir la carga e ingreso de nuevos lotes de medicamentos registrando número de lote, cantidad, fecha de vencimiento, registro sanitario INVIMA y ubicación física.</t>
  </si>
  <si>
    <t>Factible, mediante un formulario de recepción de mercancía con validaciones estricta de campos obligatorios.</t>
  </si>
  <si>
    <t>Se medirá por el registro exitoso de nuevos lotes actualizando el inventario general de forma inmediata.</t>
  </si>
  <si>
    <t>El sistema debe evaluar diariamente las fechas de vencimiento de todos los lotes y clasificar su estado dentro de un panel semafórico (Rojo: &lt;30 días, Amarillo: 30-60 días, Verde: &gt;60 días).</t>
  </si>
  <si>
    <t>Factible, mediante un procedimiento almacenado / job programado que calcule la diferencia en días contra la fecha actual.</t>
  </si>
  <si>
    <t>Se verificará que la clasificación semafórica coincida exactamente con los rangos parametrizados para el 100% de los lotes.</t>
  </si>
  <si>
    <t>El sistema debe emitir alertas de stock mínimo cuando la cantidad total disponible de un medicamento sea inferior o igual al umbral parametrizado.</t>
  </si>
  <si>
    <t>Factible, mediante consultas de verificación contra el campo `stock_minimo` de la tabla PRODUCTOS.</t>
  </si>
  <si>
    <t>Se medirá comprobando la generación automática de la alerta en el Dashboard cuando el stock cae por debajo del umbral.</t>
  </si>
  <si>
    <t>El sistema debe autocompletar la información técnica de los medicamentos (principio activo, concentración, forma farmacéutica) al ingresar el código o nombre en el catálogo base.</t>
  </si>
  <si>
    <t>Factible, realizando búsquedas indexadas en el catálogo maestro prepoblado en la BD.</t>
  </si>
  <si>
    <t>Se medirá registrando el tiempo de respuesta del autocompletado, el cual no debe superar los 500 ms.</t>
  </si>
  <si>
    <t>El sistema debe permitir al Jefe de Farmacia parametrizar y modificar los umbrales de stock mínimo y días de anticipación de alertas por cada producto.</t>
  </si>
  <si>
    <t>Factible, mediante una interfaz de configuración restringida por roles con persistencia en la BD.</t>
  </si>
  <si>
    <t>Se verificará que las modificaciones de umbrales actualicen el comportamiento de las alertas de manera inmediata.</t>
  </si>
  <si>
    <t>El sistema debe permitir la gestión CRUD de proveedores, permitiendo registrar, consultar, editar y deshabilitar información de contacto y productos asociados.</t>
  </si>
  <si>
    <t>Factible, mediante una vista dedicada y relacional entre las entidades PROVEEDOR y PRODUCTO.</t>
  </si>
  <si>
    <t>Se medirá por la correcta asociación entre proveedores y productos reflejada en las órdenes de compra/reabastecimiento.</t>
  </si>
  <si>
    <t>El sistema debe generar reportes consolidado de pérdidas por vencimiento (mermas) filtrados por rango de fechas y categorías de medicamentos.</t>
  </si>
  <si>
    <t>Factible, mediante consultas SQL que agrupen los lotes dados de baja por caducidad.</t>
  </si>
  <si>
    <t>Se verificará que el reporte calcule de forma exacta la cantidad de unidades y el costo total de la merma.</t>
  </si>
  <si>
    <t>El sistema debe restringir el acceso a las funcionalidades según el rol del usuario autenticado (Jefe de Farmacia vs. Auxiliar de Farmacia).</t>
  </si>
  <si>
    <t>Factible, mediante un modelo RBAC (Role-Based Access Control) validado en el backend y frontend.</t>
  </si>
  <si>
    <t>Se verificará que los usuarios con rol Auxiliar no puedan acceder a paneles de configuración ni aprobación de compras.</t>
  </si>
  <si>
    <t>El sistema debe permitir la búsqueda en tiempo real de disponibilidad de medicamentos por nombre comercial, principio activo o código de barras.</t>
  </si>
  <si>
    <t>Factible, utilizando índices LIKE / Full-Text Search en Oracle Database.</t>
  </si>
  <si>
    <t>Se medirá verificando que la búsqueda devuelva disponibilidad, ubicación y lotes en menos de 1 segundo.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</si>
  <si>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</si>
  <si>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</si>
  <si>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</si>
  <si>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</si>
  <si>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</si>
  <si>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</si>
  <si>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</si>
  <si>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</si>
  <si>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</si>
  <si>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</si>
  <si>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</si>
  <si>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</si>
  <si>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</si>
  <si>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</si>
  <si>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</si>
  <si>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</si>
  <si>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</si>
  <si>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</si>
  <si>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</si>
  <si>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</si>
  <si>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</si>
  <si>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</si>
  <si>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</si>
  <si>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</si>
  <si>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</si>
  <si>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</si>
  <si>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</si>
  <si>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</si>
  <si>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</si>
  <si>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</si>
  <si>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</si>
  <si>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</si>
  <si>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El sistema debe generar un código de seguimiento único e inalterable (UUID/Correlativo) por cada orden o transacción.</t>
  </si>
  <si>
    <t>Factible mediante secuencias numéricas en Oracle DB.</t>
  </si>
  <si>
    <t>El sistema debe permitir actualizar el estado de una orden a: Pendiente, En tránsito, Entregado o Cancelado.</t>
  </si>
  <si>
    <t>Factible con actualización de estado en BD e historial de cambios.</t>
  </si>
  <si>
    <t>El sistema debe mostrar un listado de órdenes con filtros acumulativos por fecha, paciente, estado y medicamento.</t>
  </si>
  <si>
    <t>Factible mediante consultas SQL optimizadas con índices.</t>
  </si>
  <si>
    <t>El sistema debe integrarse con el módulo de receta médica digital, validando la firma del médico y vigencia de la fórmula.</t>
  </si>
  <si>
    <t>Factible mediante servicios REST de validación con el RETHUS/IPS.</t>
  </si>
  <si>
    <t>El sistema debe controlar la entrega parcial de tratamientos crónicos, registrando saldo pendiente y próximas entregas.</t>
  </si>
  <si>
    <t>Factible asociando tabla de saldos por formulación y paciente.</t>
  </si>
  <si>
    <t>El sistema debe aplicar automáticamente el principio FEFO (First Expired, First Out) sugiriendo el lote más próximo a vencer.</t>
  </si>
  <si>
    <t>Factible mediante ordenamiento ORDER BY fecha_vencimiento ASC.</t>
  </si>
  <si>
    <t>El sistema debe permitir la recepción y carga de nuevos lotes con registro de INVIMA, lote, caducidad y ubicación.</t>
  </si>
  <si>
    <t>Factible con formulario de ingreso y actualización de stock.</t>
  </si>
  <si>
    <t>El sistema debe validar que la cantidad a despachar no supere el stock disponible del lote en tiempo real.</t>
  </si>
  <si>
    <t>Factible consultando stock disponible en BD antes de confirmar.</t>
  </si>
  <si>
    <t>El sistema debe permitir realizar transferencias y reubicación de lotes entre bodegas o estantes internos con registro de movimiento.</t>
  </si>
  <si>
    <t>Factible creando tabla de transferencias entre ubicaciones lógicas.</t>
  </si>
  <si>
    <t>El sistema debe permitir realizar tomas físicas de inventario (auditoría/conteo) y registrar ajustes por descuadre con justificación.</t>
  </si>
  <si>
    <t>Factible creando módulo de conciliación de inventario y notas de ajuste.</t>
  </si>
  <si>
    <t>El sistema debe clasificar diariamente el estado de vencimiento en un panel semafórico (Rojo: &lt;30d, Amarillo: 30-60d, Verde: &gt;60d).</t>
  </si>
  <si>
    <t>Factible mediante procedimiento almacenado y vista dinámica.</t>
  </si>
  <si>
    <t>El sistema debe emitir alertas automáticas cuando el stock total de un producto sea menor o igual al umbral mínimo.</t>
  </si>
  <si>
    <t>Factible mediante comprobación automática contra parámetro stock_minimo.</t>
  </si>
  <si>
    <t>El sistema debe enviar notificaciones multicanal (Email y SMS/WhatsApp) al Jefe de Farmacia cuando un lote crítico esté a &lt;15 días de vencer.</t>
  </si>
  <si>
    <t>Factible integrando API externa de Twilio o SendGrid.</t>
  </si>
  <si>
    <t>El sistema debe permitir el mantenimiento (CRUD) del catálogo de proveedores y asociación a productos.</t>
  </si>
  <si>
    <t>Factible con entidades relacionales PROVEEDOR y PRODUCTO.</t>
  </si>
  <si>
    <t>El sistema debe generar sugerencias automáticas de orden de compra basadas en rotación histórica y stock mínimo.</t>
  </si>
  <si>
    <t>Factible calculando consumo promedio diario y punto de reorden.</t>
  </si>
  <si>
    <t>El sistema debe permitir la recepción y cotejo de órdenes de compra contra la factura del proveedor y física de lotes.</t>
  </si>
  <si>
    <t>Factible creando formulario de recepción con validación de diferencias.</t>
  </si>
  <si>
    <t>El sistema debe generar reportes en PDF y Excel de mermas/pérdidas por vencimiento calculando valor financiero.</t>
  </si>
  <si>
    <t>Factible agregando datos de lotes dados de baja por caducidad.</t>
  </si>
  <si>
    <t>El sistema debe generar el reporte normativo obligatorio para Entes Territoriales / INVIMA sobre medicamentos de control especial.</t>
  </si>
  <si>
    <t>Factible estructurando consultas bajo la norma de la Resolución 1403.</t>
  </si>
  <si>
    <t>El sistema debe ofrecer un Dashboard analítico interactivo con proyección de demanda y medicamentos de mayor rotación.</t>
  </si>
  <si>
    <t>Factible integrando gráficos con librerías de Chart.js / PowerBI API.</t>
  </si>
  <si>
    <t>El sistema debe registrar en un log de auditoría inmutable toda creación, edición o eliminación de datos crítica.</t>
  </si>
  <si>
    <t>Factible con triggers en BD e interceptores de eventos.</t>
  </si>
  <si>
    <t>El sistema debe aplicar control de acceso basado en roles (RBAC) delimitando vistas entre Jefes, Auxiliares y Auditores.</t>
  </si>
  <si>
    <t>Factible con middleware de autenticación y autorización.</t>
  </si>
  <si>
    <t>El sistema debe exigir autenticación multifactor (MFA) mediante código OTP para operaciones de ajuste manual de inventario.</t>
  </si>
  <si>
    <t>Factible integrando librería TOTP (Google Authenticator).</t>
  </si>
  <si>
    <t>El sistema debe registrar y graficar lecturas de temperatura y humedad para medicamentos que requieren cadena de frío.</t>
  </si>
  <si>
    <t>Factible mediante ingesta de datos de sensores IoT o registro manual diario.</t>
  </si>
  <si>
    <t>El sistema debe permitir la consulta de trazabilidad inversa (track &amp; trace) desde un número de lote hacia todos sus receptores.</t>
  </si>
  <si>
    <t>Factible realizando consulta recursiva en el historial de despachos.</t>
  </si>
  <si>
    <t>Verificación de unicidad comprobable en el 100% de registros.</t>
  </si>
  <si>
    <t>Reflejo del cambio en tiempo real en el historial de la orden.</t>
  </si>
  <si>
    <t>Tiempo de respuesta de búsqueda menor a 3 segundos.</t>
  </si>
  <si>
    <t>Bloqueo automático de despacho si la receta no está firmada o vigencia &gt; 30 días.</t>
  </si>
  <si>
    <t>Cálculo exacto del saldo pendiente en dispensaciones fraccionadas.</t>
  </si>
  <si>
    <t>100% de despachos sugieren por defecto el lote con vencimiento más cercano.</t>
  </si>
  <si>
    <t>Registro de lotes actualizando el inventario general de forma inmediata.</t>
  </si>
  <si>
    <t>100% de intentos de despacho sin stock bloqueados con mensaje descriptivo.</t>
  </si>
  <si>
    <t>Actualización automática de saldos en bodega de origen y destino.</t>
  </si>
  <si>
    <t>Generación de acta de descuadre y actualización auditada del stock físico.</t>
  </si>
  <si>
    <t>100% de coincidencia entre dias a vencer y color asignado.</t>
  </si>
  <si>
    <t>Notificación inmediata en el Dashboard al caer por debajo del stock mínimo.</t>
  </si>
  <si>
    <t>Envío exitoso de la alerta al correo/teléfono registrado del responsable.</t>
  </si>
  <si>
    <t>Vinculación correcta de proveedores en compras e inventario.</t>
  </si>
  <si>
    <t>Generación de borrador de orden de compra con cantidades calculadas automáticamente.</t>
  </si>
  <si>
    <t>Registro de discrepancias entre lo pedido y lo efectivamente recibido.</t>
  </si>
  <si>
    <t>Cálculo exacto del costo total de pérdidas por lote en el periodo.</t>
  </si>
  <si>
    <t>Generación de archivo plano en el formato estandarizado por el Ministerio de Salud.</t>
  </si>
  <si>
    <t>Visualización de indicadores KPI de inventario en tiempo real.</t>
  </si>
  <si>
    <t>Registro de usuario, IP, fecha, hora y datos previos/nuevos en cada evento.</t>
  </si>
  <si>
    <t>Bloqueo efectivo de vistas administrativas a usuarios sin permisos.</t>
  </si>
  <si>
    <t>Solicitud del código OTP previa a la ejecución del ajuste de stock.</t>
  </si>
  <si>
    <t>Alerta sonora/visual al registrar lecturas fuera del rango de 2°C a 8°C.</t>
  </si>
  <si>
    <t>Listado completo de pacientes y fechas que recibieron unidades del lote en &lt;2s.</t>
  </si>
  <si>
    <r>
      <t xml:space="preserve">PRIORIDAD
</t>
    </r>
    <r>
      <rPr>
        <i/>
        <sz val="22"/>
        <rFont val="Arial"/>
        <family val="2"/>
      </rPr>
      <t>Alta, Media, Baja</t>
    </r>
  </si>
  <si>
    <r>
      <t xml:space="preserve">ALCANZABLE
</t>
    </r>
    <r>
      <rPr>
        <i/>
        <sz val="22"/>
        <rFont val="Arial"/>
        <family val="2"/>
      </rPr>
      <t>(primera versión - opcional)</t>
    </r>
  </si>
  <si>
    <r>
      <t xml:space="preserve">MEDIBLE
</t>
    </r>
    <r>
      <rPr>
        <i/>
        <sz val="22"/>
        <rFont val="Arial"/>
        <family val="2"/>
      </rPr>
      <t>(primera versión - opcional)</t>
    </r>
  </si>
  <si>
    <r>
      <t xml:space="preserve">Código
</t>
    </r>
    <r>
      <rPr>
        <i/>
        <sz val="22"/>
        <rFont val="Arial"/>
        <family val="2"/>
      </rPr>
      <t>(del Req.)</t>
    </r>
  </si>
  <si>
    <r>
      <t xml:space="preserve">
</t>
    </r>
    <r>
      <rPr>
        <i/>
        <sz val="22"/>
        <rFont val="Arial"/>
        <family val="2"/>
      </rPr>
      <t>-</t>
    </r>
    <r>
      <rPr>
        <b/>
        <i/>
        <sz val="22"/>
        <color rgb="FFC00000"/>
        <rFont val="Arial"/>
        <family val="2"/>
      </rPr>
      <t>USAR</t>
    </r>
    <r>
      <rPr>
        <i/>
        <sz val="22"/>
        <rFont val="Arial"/>
        <family val="2"/>
      </rPr>
      <t xml:space="preserve"> la forma "</t>
    </r>
    <r>
      <rPr>
        <b/>
        <i/>
        <sz val="22"/>
        <rFont val="Arial"/>
        <family val="2"/>
      </rPr>
      <t>el sistema debe . . .</t>
    </r>
    <r>
      <rPr>
        <i/>
        <sz val="22"/>
        <rFont val="Arial"/>
        <family val="2"/>
      </rPr>
      <t xml:space="preserve">"
- </t>
    </r>
    <r>
      <rPr>
        <b/>
        <i/>
        <sz val="22"/>
        <color rgb="FFC00000"/>
        <rFont val="Arial"/>
        <family val="2"/>
      </rPr>
      <t>NO USAR</t>
    </r>
    <r>
      <rPr>
        <i/>
        <sz val="22"/>
        <rFont val="Arial"/>
        <family val="2"/>
      </rPr>
      <t>: "soportará", "no estará limitado a..", "etc", "y/o", "minimizar", "maximizar", "rápido", "amigable", "fácil", "suficiente", "adecuado"</t>
    </r>
  </si>
  <si>
    <r>
      <t>Explique por qué es factible hacerlo.
 (</t>
    </r>
    <r>
      <rPr>
        <i/>
        <sz val="22"/>
        <rFont val="Arial"/>
        <family val="2"/>
      </rPr>
      <t>Es decir, ve</t>
    </r>
    <r>
      <rPr>
        <sz val="22"/>
        <rFont val="Arial"/>
        <family val="2"/>
      </rPr>
      <t xml:space="preserve">rficar </t>
    </r>
    <r>
      <rPr>
        <i/>
        <sz val="22"/>
        <rFont val="Arial"/>
        <family val="2"/>
      </rPr>
      <t>que no se trata de algo inalcanzable!</t>
    </r>
    <r>
      <rPr>
        <sz val="22"/>
        <rFont val="Arial"/>
        <family val="2"/>
      </rPr>
      <t>)</t>
    </r>
  </si>
  <si>
    <r>
      <t>¿Cómo se cuantificará (</t>
    </r>
    <r>
      <rPr>
        <i/>
        <u/>
        <sz val="22"/>
        <rFont val="Arial"/>
        <family val="2"/>
      </rPr>
      <t>unidad de medida</t>
    </r>
    <r>
      <rPr>
        <sz val="22"/>
        <rFont val="Arial"/>
        <family val="2"/>
      </rPr>
      <t>) el requisito para verificar que se dará por cumplido?</t>
    </r>
  </si>
  <si>
    <t>No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</si>
</sst>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0"/>
      <name val="Arial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7.5"/>
      <color indexed="57"/>
      <name val="Verdana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Trebuchet MS"/>
      <family val="2"/>
    </font>
    <font>
      <b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7.5"/>
      <color indexed="57"/>
      <name val="Trebuchet MS"/>
      <family val="2"/>
    </font>
    <font>
      <sz val="7.5"/>
      <color indexed="57"/>
      <name val="Trebuchet MS"/>
      <family val="2"/>
    </font>
    <font>
      <b/>
      <sz val="8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6"/>
      <color indexed="9"/>
      <name val="Trebuchet MS"/>
      <family val="2"/>
    </font>
    <font>
      <b/>
      <sz val="26"/>
      <name val="Arial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rgb="FF0070C0"/>
      <name val="Trebuchet MS"/>
      <family val="2"/>
    </font>
    <font>
      <b/>
      <sz val="16"/>
      <name val="Arial"/>
      <family val="2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6"/>
      <name val="Arial"/>
      <family val="2"/>
    </font>
    <font>
      <b/>
      <sz val="16"/>
      <color indexed="57"/>
      <name val="Verdana"/>
      <family val="2"/>
    </font>
    <font>
      <i/>
      <sz val="16"/>
      <name val="Arial"/>
      <family val="2"/>
    </font>
    <font>
      <b/>
      <sz val="16"/>
      <color theme="0"/>
      <name val="Verdana"/>
      <family val="2"/>
    </font>
    <font>
      <sz val="8"/>
      <name val="Arial"/>
    </font>
    <font>
      <b/>
      <sz val="22"/>
      <name val="Verdana"/>
      <family val="2"/>
    </font>
    <font>
      <b/>
      <sz val="22"/>
      <name val="Arial"/>
      <family val="2"/>
    </font>
    <font>
      <i/>
      <sz val="22"/>
      <name val="Arial"/>
      <family val="2"/>
    </font>
    <font>
      <b/>
      <sz val="22"/>
      <color theme="0"/>
      <name val="Arial"/>
      <family val="2"/>
    </font>
    <font>
      <sz val="22"/>
      <name val="Arial"/>
      <family val="2"/>
    </font>
    <font>
      <b/>
      <i/>
      <sz val="22"/>
      <color rgb="FFC00000"/>
      <name val="Arial"/>
      <family val="2"/>
    </font>
    <font>
      <b/>
      <i/>
      <sz val="22"/>
      <name val="Arial"/>
      <family val="2"/>
    </font>
    <font>
      <i/>
      <u/>
      <sz val="22"/>
      <name val="Arial"/>
      <family val="2"/>
    </font>
    <font>
      <u/>
      <sz val="22"/>
      <name val="Arial"/>
      <family val="2"/>
    </font>
    <font>
      <sz val="22"/>
      <name val="Calibri"/>
      <family val="2"/>
      <scheme val="minor"/>
    </font>
    <font>
      <sz val="22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51"/>
      </patternFill>
    </fill>
    <fill>
      <patternFill patternType="solid">
        <fgColor indexed="57"/>
        <bgColor indexed="39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33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26"/>
      </patternFill>
    </fill>
    <fill>
      <patternFill patternType="solid">
        <fgColor rgb="FFFFC000"/>
        <bgColor indexed="13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0" borderId="0" xfId="0" applyFont="1"/>
    <xf numFmtId="0" fontId="9" fillId="0" borderId="0" xfId="0" applyFont="1" applyAlignment="1">
      <alignment horizontal="left"/>
    </xf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4" borderId="0" xfId="0" applyFont="1" applyFill="1"/>
    <xf numFmtId="0" fontId="6" fillId="4" borderId="0" xfId="0" applyFont="1" applyFill="1"/>
    <xf numFmtId="0" fontId="3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9" borderId="0" xfId="0" applyFill="1" applyAlignment="1">
      <alignment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5" fillId="7" borderId="13" xfId="0" applyFont="1" applyFill="1" applyBorder="1" applyAlignment="1">
      <alignment horizontal="center" vertical="center" wrapText="1"/>
    </xf>
    <xf numFmtId="0" fontId="25" fillId="7" borderId="15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7" fillId="13" borderId="1" xfId="0" applyFont="1" applyFill="1" applyBorder="1" applyAlignment="1">
      <alignment horizontal="center" vertical="center" wrapText="1"/>
    </xf>
    <xf numFmtId="164" fontId="30" fillId="16" borderId="18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  <pageSetUpPr fitToPage="1"/>
  </sheetPr>
  <dimension ref="A1:L62"/>
  <sheetViews>
    <sheetView tabSelected="1" topLeftCell="B2" zoomScale="55" zoomScaleNormal="55" workbookViewId="0">
      <selection activeCell="F51" sqref="F51"/>
    </sheetView>
  </sheetViews>
  <sheetFormatPr baseColWidth="10" defaultColWidth="10.77734375" defaultRowHeight="13.2" x14ac:dyDescent="0.25"/>
  <cols>
    <col min="1" max="1" width="15.21875" style="27" customWidth="1"/>
    <col min="2" max="2" width="154.6640625" style="27" bestFit="1" customWidth="1"/>
    <col min="3" max="3" width="16.109375" style="27" bestFit="1" customWidth="1"/>
    <col min="4" max="4" width="87.21875" style="27" bestFit="1" customWidth="1"/>
    <col min="5" max="5" width="86.44140625" style="27" bestFit="1" customWidth="1"/>
    <col min="6" max="6" width="32.6640625" style="27" customWidth="1"/>
    <col min="7" max="9" width="14.6640625" style="28" customWidth="1"/>
    <col min="10" max="10" width="17.33203125" style="28" customWidth="1"/>
    <col min="11" max="11" width="17.77734375" style="28" customWidth="1"/>
    <col min="12" max="12" width="11.44140625" style="27" bestFit="1" customWidth="1"/>
    <col min="13" max="16384" width="10.77734375" style="27"/>
  </cols>
  <sheetData>
    <row r="1" spans="1:12" ht="30" customHeight="1" thickBot="1" x14ac:dyDescent="0.3">
      <c r="A1" s="29" t="s">
        <v>29</v>
      </c>
      <c r="B1" s="30" t="s">
        <v>70</v>
      </c>
      <c r="C1" s="31"/>
      <c r="D1" s="31"/>
      <c r="E1" s="31"/>
      <c r="F1" s="31"/>
      <c r="G1" s="44" t="s">
        <v>50</v>
      </c>
      <c r="H1" s="45"/>
      <c r="I1" s="45"/>
      <c r="J1" s="45"/>
      <c r="K1" s="46"/>
      <c r="L1" s="31"/>
    </row>
    <row r="2" spans="1:12" ht="19.95" customHeight="1" thickTop="1" x14ac:dyDescent="0.25">
      <c r="A2" s="32" t="s">
        <v>3</v>
      </c>
      <c r="B2" s="31"/>
      <c r="C2" s="31"/>
      <c r="D2" s="31"/>
      <c r="E2" s="31"/>
      <c r="F2" s="31"/>
      <c r="G2" s="47"/>
      <c r="H2" s="48"/>
      <c r="I2" s="48"/>
      <c r="J2" s="48"/>
      <c r="K2" s="49"/>
      <c r="L2" s="31"/>
    </row>
    <row r="3" spans="1:12" ht="16.05" customHeight="1" x14ac:dyDescent="0.25">
      <c r="A3" s="32"/>
      <c r="B3" s="31"/>
      <c r="C3" s="31"/>
      <c r="D3" s="31"/>
      <c r="E3" s="31"/>
      <c r="F3" s="31"/>
      <c r="G3" s="35" t="s">
        <v>43</v>
      </c>
      <c r="H3" s="36"/>
      <c r="I3" s="36"/>
      <c r="J3" s="36"/>
      <c r="K3" s="37"/>
      <c r="L3" s="31"/>
    </row>
    <row r="4" spans="1:12" ht="16.05" customHeight="1" x14ac:dyDescent="0.25">
      <c r="A4" s="32"/>
      <c r="B4" s="31"/>
      <c r="C4" s="31"/>
      <c r="D4" s="31"/>
      <c r="E4" s="31"/>
      <c r="F4" s="31"/>
      <c r="G4" s="38"/>
      <c r="H4" s="39"/>
      <c r="I4" s="39"/>
      <c r="J4" s="39"/>
      <c r="K4" s="40"/>
      <c r="L4" s="31"/>
    </row>
    <row r="5" spans="1:12" ht="16.05" customHeight="1" x14ac:dyDescent="0.25">
      <c r="A5" s="32"/>
      <c r="B5" s="31"/>
      <c r="C5" s="31"/>
      <c r="D5" s="31"/>
      <c r="E5" s="31"/>
      <c r="F5" s="31"/>
      <c r="G5" s="41"/>
      <c r="H5" s="42"/>
      <c r="I5" s="42"/>
      <c r="J5" s="42"/>
      <c r="K5" s="43"/>
      <c r="L5" s="31"/>
    </row>
    <row r="6" spans="1:12" ht="20.399999999999999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4"/>
      <c r="L6" s="31"/>
    </row>
    <row r="7" spans="1:12" s="53" customFormat="1" ht="34.5" customHeight="1" x14ac:dyDescent="0.25">
      <c r="A7" s="50" t="s">
        <v>45</v>
      </c>
      <c r="B7" s="51" t="s">
        <v>44</v>
      </c>
      <c r="C7" s="51" t="s">
        <v>239</v>
      </c>
      <c r="D7" s="51" t="s">
        <v>240</v>
      </c>
      <c r="E7" s="51" t="s">
        <v>241</v>
      </c>
      <c r="F7" s="51" t="s">
        <v>46</v>
      </c>
      <c r="G7" s="52" t="s">
        <v>59</v>
      </c>
      <c r="H7" s="52" t="s">
        <v>60</v>
      </c>
      <c r="I7" s="52" t="s">
        <v>48</v>
      </c>
      <c r="J7" s="52" t="s">
        <v>47</v>
      </c>
      <c r="K7" s="52" t="s">
        <v>49</v>
      </c>
    </row>
    <row r="8" spans="1:12" s="53" customFormat="1" ht="169.2" customHeight="1" x14ac:dyDescent="0.25">
      <c r="A8" s="54" t="s">
        <v>242</v>
      </c>
      <c r="B8" s="55" t="s">
        <v>243</v>
      </c>
      <c r="C8" s="56" t="s">
        <v>69</v>
      </c>
      <c r="D8" s="57" t="s">
        <v>244</v>
      </c>
      <c r="E8" s="57" t="s">
        <v>245</v>
      </c>
      <c r="F8" s="58"/>
      <c r="G8" s="59" t="s">
        <v>61</v>
      </c>
      <c r="H8" s="59" t="s">
        <v>63</v>
      </c>
      <c r="I8" s="59" t="s">
        <v>62</v>
      </c>
      <c r="J8" s="59" t="s">
        <v>62</v>
      </c>
      <c r="K8" s="59" t="s">
        <v>62</v>
      </c>
    </row>
    <row r="9" spans="1:12" s="53" customFormat="1" ht="82.5" customHeight="1" x14ac:dyDescent="0.25">
      <c r="A9" s="60" t="s">
        <v>30</v>
      </c>
      <c r="B9" s="60" t="s">
        <v>71</v>
      </c>
      <c r="C9" s="60" t="s">
        <v>72</v>
      </c>
      <c r="D9" s="60" t="s">
        <v>73</v>
      </c>
      <c r="E9" s="60" t="s">
        <v>74</v>
      </c>
      <c r="F9" s="60" t="s">
        <v>75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</row>
    <row r="10" spans="1:12" s="53" customFormat="1" ht="66.45" customHeight="1" x14ac:dyDescent="0.25">
      <c r="A10" s="60" t="s">
        <v>31</v>
      </c>
      <c r="B10" s="60" t="s">
        <v>76</v>
      </c>
      <c r="C10" s="60" t="s">
        <v>72</v>
      </c>
      <c r="D10" s="60" t="s">
        <v>77</v>
      </c>
      <c r="E10" s="60" t="s">
        <v>78</v>
      </c>
      <c r="F10" s="60" t="s">
        <v>75</v>
      </c>
      <c r="G10" s="61"/>
      <c r="H10" s="61"/>
      <c r="I10" s="61"/>
      <c r="J10" s="61"/>
      <c r="K10" s="61"/>
    </row>
    <row r="11" spans="1:12" s="53" customFormat="1" ht="71.55" customHeight="1" x14ac:dyDescent="0.25">
      <c r="A11" s="60" t="s">
        <v>32</v>
      </c>
      <c r="B11" s="60" t="s">
        <v>79</v>
      </c>
      <c r="C11" s="60" t="s">
        <v>72</v>
      </c>
      <c r="D11" s="60" t="s">
        <v>80</v>
      </c>
      <c r="E11" s="60" t="s">
        <v>81</v>
      </c>
      <c r="F11" s="60" t="s">
        <v>75</v>
      </c>
      <c r="G11" s="61"/>
      <c r="H11" s="61"/>
      <c r="I11" s="61"/>
      <c r="J11" s="61"/>
      <c r="K11" s="61"/>
    </row>
    <row r="12" spans="1:12" s="53" customFormat="1" ht="70.5" customHeight="1" x14ac:dyDescent="0.25">
      <c r="A12" s="60" t="s">
        <v>33</v>
      </c>
      <c r="B12" s="60" t="s">
        <v>83</v>
      </c>
      <c r="C12" s="60" t="s">
        <v>82</v>
      </c>
      <c r="D12" s="60" t="s">
        <v>84</v>
      </c>
      <c r="E12" s="60" t="s">
        <v>85</v>
      </c>
      <c r="F12" s="60" t="s">
        <v>75</v>
      </c>
      <c r="G12" s="61"/>
      <c r="H12" s="61"/>
      <c r="I12" s="61"/>
      <c r="J12" s="61"/>
      <c r="K12" s="61"/>
    </row>
    <row r="13" spans="1:12" s="53" customFormat="1" ht="64.05" customHeight="1" x14ac:dyDescent="0.25">
      <c r="A13" s="60" t="s">
        <v>34</v>
      </c>
      <c r="B13" s="60" t="s">
        <v>86</v>
      </c>
      <c r="C13" s="60" t="s">
        <v>82</v>
      </c>
      <c r="D13" s="60" t="s">
        <v>87</v>
      </c>
      <c r="E13" s="60" t="s">
        <v>88</v>
      </c>
      <c r="F13" s="60" t="s">
        <v>75</v>
      </c>
      <c r="G13" s="61"/>
      <c r="H13" s="61"/>
      <c r="I13" s="61"/>
      <c r="J13" s="61"/>
      <c r="K13" s="61"/>
    </row>
    <row r="14" spans="1:12" s="53" customFormat="1" ht="100.5" customHeight="1" x14ac:dyDescent="0.25">
      <c r="A14" s="60" t="s">
        <v>35</v>
      </c>
      <c r="B14" s="60" t="s">
        <v>89</v>
      </c>
      <c r="C14" s="60" t="s">
        <v>82</v>
      </c>
      <c r="D14" s="60" t="s">
        <v>104</v>
      </c>
      <c r="E14" s="60" t="s">
        <v>103</v>
      </c>
      <c r="F14" s="60" t="s">
        <v>75</v>
      </c>
      <c r="G14" s="61"/>
      <c r="H14" s="61"/>
      <c r="I14" s="61"/>
      <c r="J14" s="61"/>
      <c r="K14" s="61"/>
    </row>
    <row r="15" spans="1:12" s="53" customFormat="1" ht="76.05" customHeight="1" x14ac:dyDescent="0.25">
      <c r="A15" s="60" t="s">
        <v>36</v>
      </c>
      <c r="B15" s="60" t="s">
        <v>90</v>
      </c>
      <c r="C15" s="60" t="s">
        <v>82</v>
      </c>
      <c r="D15" s="60" t="s">
        <v>102</v>
      </c>
      <c r="E15" s="60" t="s">
        <v>101</v>
      </c>
      <c r="F15" s="60" t="s">
        <v>75</v>
      </c>
      <c r="G15" s="61"/>
      <c r="H15" s="61"/>
      <c r="I15" s="61"/>
      <c r="J15" s="61"/>
      <c r="K15" s="61"/>
    </row>
    <row r="16" spans="1:12" s="53" customFormat="1" ht="60.45" customHeight="1" x14ac:dyDescent="0.25">
      <c r="A16" s="60" t="s">
        <v>37</v>
      </c>
      <c r="B16" s="60" t="s">
        <v>91</v>
      </c>
      <c r="C16" s="60" t="s">
        <v>72</v>
      </c>
      <c r="D16" s="60" t="s">
        <v>99</v>
      </c>
      <c r="E16" s="60" t="s">
        <v>100</v>
      </c>
      <c r="F16" s="60" t="s">
        <v>75</v>
      </c>
      <c r="G16" s="61"/>
      <c r="H16" s="61"/>
      <c r="I16" s="61"/>
      <c r="J16" s="61"/>
      <c r="K16" s="61"/>
    </row>
    <row r="17" spans="1:12" s="53" customFormat="1" ht="67.5" customHeight="1" x14ac:dyDescent="0.25">
      <c r="A17" s="60" t="s">
        <v>38</v>
      </c>
      <c r="B17" s="60" t="s">
        <v>92</v>
      </c>
      <c r="C17" s="60" t="s">
        <v>72</v>
      </c>
      <c r="D17" s="60" t="s">
        <v>98</v>
      </c>
      <c r="E17" s="60" t="s">
        <v>97</v>
      </c>
      <c r="F17" s="60" t="s">
        <v>75</v>
      </c>
      <c r="G17" s="61"/>
      <c r="H17" s="61"/>
      <c r="I17" s="61"/>
      <c r="J17" s="61"/>
      <c r="K17" s="61"/>
    </row>
    <row r="18" spans="1:12" s="53" customFormat="1" ht="71.55" customHeight="1" x14ac:dyDescent="0.25">
      <c r="A18" s="60" t="s">
        <v>18</v>
      </c>
      <c r="B18" s="60" t="s">
        <v>93</v>
      </c>
      <c r="C18" s="60" t="s">
        <v>94</v>
      </c>
      <c r="D18" s="60" t="s">
        <v>95</v>
      </c>
      <c r="E18" s="60" t="s">
        <v>96</v>
      </c>
      <c r="F18" s="60" t="s">
        <v>75</v>
      </c>
      <c r="G18" s="61"/>
      <c r="H18" s="61"/>
      <c r="I18" s="61"/>
      <c r="J18" s="61"/>
      <c r="K18" s="61"/>
    </row>
    <row r="19" spans="1:12" s="53" customFormat="1" ht="49.95" customHeight="1" x14ac:dyDescent="0.25">
      <c r="A19" s="60" t="s">
        <v>51</v>
      </c>
      <c r="B19" s="60" t="s">
        <v>105</v>
      </c>
      <c r="C19" s="60" t="s">
        <v>72</v>
      </c>
      <c r="D19" s="60" t="s">
        <v>106</v>
      </c>
      <c r="E19" s="60" t="s">
        <v>107</v>
      </c>
      <c r="F19" s="60" t="s">
        <v>75</v>
      </c>
      <c r="G19" s="61"/>
      <c r="H19" s="61"/>
      <c r="I19" s="61"/>
      <c r="J19" s="61"/>
      <c r="K19" s="61"/>
    </row>
    <row r="20" spans="1:12" s="53" customFormat="1" ht="49.95" customHeight="1" x14ac:dyDescent="0.25">
      <c r="A20" s="60" t="s">
        <v>52</v>
      </c>
      <c r="B20" s="60" t="s">
        <v>108</v>
      </c>
      <c r="C20" s="62" t="s">
        <v>72</v>
      </c>
      <c r="D20" s="62" t="s">
        <v>109</v>
      </c>
      <c r="E20" s="62" t="s">
        <v>110</v>
      </c>
      <c r="F20" s="60" t="s">
        <v>75</v>
      </c>
      <c r="G20" s="61"/>
      <c r="H20" s="61"/>
      <c r="I20" s="61"/>
      <c r="J20" s="61"/>
      <c r="K20" s="61"/>
    </row>
    <row r="21" spans="1:12" s="53" customFormat="1" ht="49.95" customHeight="1" x14ac:dyDescent="0.25">
      <c r="A21" s="60" t="s">
        <v>53</v>
      </c>
      <c r="B21" s="60" t="s">
        <v>111</v>
      </c>
      <c r="C21" s="62" t="s">
        <v>72</v>
      </c>
      <c r="D21" s="62" t="s">
        <v>112</v>
      </c>
      <c r="E21" s="62" t="s">
        <v>113</v>
      </c>
      <c r="F21" s="62" t="s">
        <v>75</v>
      </c>
      <c r="G21" s="61"/>
      <c r="H21" s="61"/>
      <c r="I21" s="61"/>
      <c r="J21" s="61"/>
      <c r="K21" s="61"/>
    </row>
    <row r="22" spans="1:12" s="53" customFormat="1" ht="49.95" customHeight="1" x14ac:dyDescent="0.25">
      <c r="A22" s="60" t="s">
        <v>54</v>
      </c>
      <c r="B22" s="60" t="s">
        <v>114</v>
      </c>
      <c r="C22" s="62" t="s">
        <v>72</v>
      </c>
      <c r="D22" s="62" t="s">
        <v>115</v>
      </c>
      <c r="E22" s="62" t="s">
        <v>116</v>
      </c>
      <c r="F22" s="62" t="s">
        <v>75</v>
      </c>
      <c r="G22" s="61"/>
      <c r="H22" s="61"/>
      <c r="I22" s="61"/>
      <c r="J22" s="61"/>
      <c r="K22" s="61"/>
    </row>
    <row r="23" spans="1:12" s="53" customFormat="1" ht="49.95" customHeight="1" x14ac:dyDescent="0.25">
      <c r="A23" s="60" t="s">
        <v>55</v>
      </c>
      <c r="B23" s="60" t="s">
        <v>117</v>
      </c>
      <c r="C23" s="62" t="s">
        <v>82</v>
      </c>
      <c r="D23" s="62" t="s">
        <v>118</v>
      </c>
      <c r="E23" s="62" t="s">
        <v>119</v>
      </c>
      <c r="F23" s="62" t="s">
        <v>75</v>
      </c>
      <c r="G23" s="61"/>
      <c r="H23" s="61"/>
      <c r="I23" s="61"/>
      <c r="J23" s="61"/>
      <c r="K23" s="61"/>
    </row>
    <row r="24" spans="1:12" s="53" customFormat="1" ht="49.95" customHeight="1" x14ac:dyDescent="0.25">
      <c r="A24" s="60" t="s">
        <v>64</v>
      </c>
      <c r="B24" s="60" t="s">
        <v>120</v>
      </c>
      <c r="C24" s="60" t="s">
        <v>82</v>
      </c>
      <c r="D24" s="60" t="s">
        <v>121</v>
      </c>
      <c r="E24" s="60" t="s">
        <v>122</v>
      </c>
      <c r="F24" s="62" t="s">
        <v>75</v>
      </c>
      <c r="G24" s="61"/>
      <c r="H24" s="61"/>
      <c r="I24" s="61"/>
      <c r="J24" s="61"/>
      <c r="K24" s="61"/>
    </row>
    <row r="25" spans="1:12" s="53" customFormat="1" ht="49.95" customHeight="1" x14ac:dyDescent="0.25">
      <c r="A25" s="60" t="s">
        <v>65</v>
      </c>
      <c r="B25" s="60" t="s">
        <v>123</v>
      </c>
      <c r="C25" s="62" t="s">
        <v>82</v>
      </c>
      <c r="D25" s="62" t="s">
        <v>124</v>
      </c>
      <c r="E25" s="62" t="s">
        <v>125</v>
      </c>
      <c r="F25" s="62" t="s">
        <v>75</v>
      </c>
      <c r="G25" s="61"/>
      <c r="H25" s="61"/>
      <c r="I25" s="61"/>
      <c r="J25" s="61"/>
      <c r="K25" s="61"/>
    </row>
    <row r="26" spans="1:12" s="53" customFormat="1" ht="49.95" customHeight="1" x14ac:dyDescent="0.25">
      <c r="A26" s="60" t="s">
        <v>66</v>
      </c>
      <c r="B26" s="60" t="s">
        <v>126</v>
      </c>
      <c r="C26" s="62" t="s">
        <v>82</v>
      </c>
      <c r="D26" s="62" t="s">
        <v>127</v>
      </c>
      <c r="E26" s="62" t="s">
        <v>128</v>
      </c>
      <c r="F26" s="62" t="s">
        <v>75</v>
      </c>
      <c r="G26" s="61"/>
      <c r="H26" s="61"/>
      <c r="I26" s="61"/>
      <c r="J26" s="61"/>
      <c r="K26" s="61"/>
    </row>
    <row r="27" spans="1:12" s="53" customFormat="1" ht="49.95" customHeight="1" x14ac:dyDescent="0.25">
      <c r="A27" s="60" t="s">
        <v>67</v>
      </c>
      <c r="B27" s="60" t="s">
        <v>129</v>
      </c>
      <c r="C27" s="62" t="s">
        <v>72</v>
      </c>
      <c r="D27" s="62" t="s">
        <v>130</v>
      </c>
      <c r="E27" s="62" t="s">
        <v>131</v>
      </c>
      <c r="F27" s="62" t="s">
        <v>246</v>
      </c>
      <c r="G27" s="61"/>
      <c r="H27" s="61"/>
      <c r="I27" s="61"/>
      <c r="J27" s="61"/>
      <c r="K27" s="61"/>
    </row>
    <row r="28" spans="1:12" s="53" customFormat="1" ht="49.95" customHeight="1" thickBot="1" x14ac:dyDescent="0.3">
      <c r="A28" s="60" t="s">
        <v>68</v>
      </c>
      <c r="B28" s="60" t="s">
        <v>132</v>
      </c>
      <c r="C28" s="62" t="s">
        <v>72</v>
      </c>
      <c r="D28" s="62" t="s">
        <v>133</v>
      </c>
      <c r="E28" s="62" t="s">
        <v>134</v>
      </c>
      <c r="F28" s="62" t="s">
        <v>75</v>
      </c>
      <c r="G28" s="61"/>
      <c r="H28" s="61"/>
      <c r="I28" s="61"/>
      <c r="J28" s="61"/>
      <c r="K28" s="61"/>
    </row>
    <row r="29" spans="1:12" s="53" customFormat="1" ht="58.2" thickBot="1" x14ac:dyDescent="0.3">
      <c r="A29" s="60" t="s">
        <v>135</v>
      </c>
      <c r="B29" s="62" t="s">
        <v>167</v>
      </c>
      <c r="C29" s="62" t="s">
        <v>72</v>
      </c>
      <c r="D29" s="62" t="s">
        <v>168</v>
      </c>
      <c r="E29" s="62" t="s">
        <v>215</v>
      </c>
      <c r="F29" s="62" t="s">
        <v>75</v>
      </c>
      <c r="G29" s="63">
        <f>AVERAGE(G9:G28)</f>
        <v>0</v>
      </c>
      <c r="H29" s="63">
        <f t="shared" ref="H29:K29" si="0">AVERAGE(H9:H28)</f>
        <v>0</v>
      </c>
      <c r="I29" s="63">
        <f t="shared" si="0"/>
        <v>0</v>
      </c>
      <c r="J29" s="63">
        <f t="shared" si="0"/>
        <v>0</v>
      </c>
      <c r="K29" s="63">
        <f t="shared" si="0"/>
        <v>0</v>
      </c>
      <c r="L29" s="64">
        <f>SUM(G29:K29)/2</f>
        <v>0</v>
      </c>
    </row>
    <row r="30" spans="1:12" s="53" customFormat="1" ht="57.6" x14ac:dyDescent="0.25">
      <c r="A30" s="60" t="s">
        <v>136</v>
      </c>
      <c r="B30" s="62" t="s">
        <v>169</v>
      </c>
      <c r="C30" s="62" t="s">
        <v>72</v>
      </c>
      <c r="D30" s="62" t="s">
        <v>170</v>
      </c>
      <c r="E30" s="62" t="s">
        <v>216</v>
      </c>
      <c r="F30" s="62" t="s">
        <v>75</v>
      </c>
      <c r="G30" s="65"/>
      <c r="H30" s="65"/>
      <c r="I30" s="65"/>
      <c r="J30" s="65"/>
      <c r="K30" s="65"/>
    </row>
    <row r="31" spans="1:12" s="53" customFormat="1" ht="57.6" x14ac:dyDescent="0.25">
      <c r="A31" s="60" t="s">
        <v>137</v>
      </c>
      <c r="B31" s="62" t="s">
        <v>171</v>
      </c>
      <c r="C31" s="62" t="s">
        <v>82</v>
      </c>
      <c r="D31" s="62" t="s">
        <v>172</v>
      </c>
      <c r="E31" s="62" t="s">
        <v>217</v>
      </c>
      <c r="F31" s="62" t="s">
        <v>75</v>
      </c>
      <c r="G31" s="65"/>
      <c r="H31" s="65"/>
      <c r="I31" s="65"/>
      <c r="J31" s="65"/>
      <c r="K31" s="65"/>
    </row>
    <row r="32" spans="1:12" s="53" customFormat="1" ht="57.6" x14ac:dyDescent="0.25">
      <c r="A32" s="60" t="s">
        <v>138</v>
      </c>
      <c r="B32" s="62" t="s">
        <v>173</v>
      </c>
      <c r="C32" s="62" t="s">
        <v>82</v>
      </c>
      <c r="D32" s="62" t="s">
        <v>174</v>
      </c>
      <c r="E32" s="62" t="s">
        <v>218</v>
      </c>
      <c r="F32" s="62" t="s">
        <v>75</v>
      </c>
      <c r="G32" s="65"/>
      <c r="H32" s="65"/>
      <c r="I32" s="65"/>
      <c r="J32" s="65"/>
      <c r="K32" s="65"/>
    </row>
    <row r="33" spans="1:11" s="53" customFormat="1" ht="57.6" x14ac:dyDescent="0.25">
      <c r="A33" s="60" t="s">
        <v>139</v>
      </c>
      <c r="B33" s="62" t="s">
        <v>175</v>
      </c>
      <c r="C33" s="62" t="s">
        <v>72</v>
      </c>
      <c r="D33" s="62" t="s">
        <v>176</v>
      </c>
      <c r="E33" s="62" t="s">
        <v>219</v>
      </c>
      <c r="F33" s="62" t="s">
        <v>75</v>
      </c>
      <c r="G33" s="65"/>
      <c r="H33" s="65"/>
      <c r="I33" s="65"/>
      <c r="J33" s="65"/>
      <c r="K33" s="65"/>
    </row>
    <row r="34" spans="1:11" s="53" customFormat="1" ht="57.6" x14ac:dyDescent="0.25">
      <c r="A34" s="60" t="s">
        <v>140</v>
      </c>
      <c r="B34" s="62" t="s">
        <v>177</v>
      </c>
      <c r="C34" s="62" t="s">
        <v>72</v>
      </c>
      <c r="D34" s="62" t="s">
        <v>178</v>
      </c>
      <c r="E34" s="62" t="s">
        <v>220</v>
      </c>
      <c r="F34" s="62" t="s">
        <v>75</v>
      </c>
      <c r="G34" s="65"/>
      <c r="H34" s="65"/>
      <c r="I34" s="65"/>
      <c r="J34" s="65"/>
      <c r="K34" s="65"/>
    </row>
    <row r="35" spans="1:11" s="53" customFormat="1" ht="57.6" x14ac:dyDescent="0.25">
      <c r="A35" s="60" t="s">
        <v>141</v>
      </c>
      <c r="B35" s="62" t="s">
        <v>179</v>
      </c>
      <c r="C35" s="62" t="s">
        <v>72</v>
      </c>
      <c r="D35" s="62" t="s">
        <v>180</v>
      </c>
      <c r="E35" s="62" t="s">
        <v>221</v>
      </c>
      <c r="F35" s="62" t="s">
        <v>75</v>
      </c>
      <c r="G35" s="65"/>
      <c r="H35" s="65"/>
      <c r="I35" s="65"/>
      <c r="J35" s="65"/>
      <c r="K35" s="65"/>
    </row>
    <row r="36" spans="1:11" s="53" customFormat="1" ht="57.6" x14ac:dyDescent="0.25">
      <c r="A36" s="60" t="s">
        <v>142</v>
      </c>
      <c r="B36" s="62" t="s">
        <v>181</v>
      </c>
      <c r="C36" s="62" t="s">
        <v>72</v>
      </c>
      <c r="D36" s="62" t="s">
        <v>182</v>
      </c>
      <c r="E36" s="62" t="s">
        <v>222</v>
      </c>
      <c r="F36" s="62" t="s">
        <v>75</v>
      </c>
      <c r="G36" s="65"/>
      <c r="H36" s="65"/>
      <c r="I36" s="65"/>
      <c r="J36" s="65"/>
      <c r="K36" s="65"/>
    </row>
    <row r="37" spans="1:11" s="53" customFormat="1" ht="57.6" x14ac:dyDescent="0.25">
      <c r="A37" s="60" t="s">
        <v>143</v>
      </c>
      <c r="B37" s="62" t="s">
        <v>183</v>
      </c>
      <c r="C37" s="62" t="s">
        <v>82</v>
      </c>
      <c r="D37" s="62" t="s">
        <v>184</v>
      </c>
      <c r="E37" s="62" t="s">
        <v>223</v>
      </c>
      <c r="F37" s="62" t="s">
        <v>75</v>
      </c>
      <c r="G37" s="65"/>
      <c r="H37" s="65"/>
      <c r="I37" s="65"/>
      <c r="J37" s="65"/>
      <c r="K37" s="65"/>
    </row>
    <row r="38" spans="1:11" s="53" customFormat="1" ht="57.6" x14ac:dyDescent="0.25">
      <c r="A38" s="60" t="s">
        <v>144</v>
      </c>
      <c r="B38" s="62" t="s">
        <v>185</v>
      </c>
      <c r="C38" s="62" t="s">
        <v>72</v>
      </c>
      <c r="D38" s="62" t="s">
        <v>186</v>
      </c>
      <c r="E38" s="62" t="s">
        <v>224</v>
      </c>
      <c r="F38" s="62" t="s">
        <v>75</v>
      </c>
      <c r="G38" s="65"/>
      <c r="H38" s="65"/>
      <c r="I38" s="65"/>
      <c r="J38" s="65"/>
      <c r="K38" s="65"/>
    </row>
    <row r="39" spans="1:11" s="53" customFormat="1" ht="57.6" x14ac:dyDescent="0.25">
      <c r="A39" s="60" t="s">
        <v>145</v>
      </c>
      <c r="B39" s="62" t="s">
        <v>187</v>
      </c>
      <c r="C39" s="62" t="s">
        <v>72</v>
      </c>
      <c r="D39" s="62" t="s">
        <v>188</v>
      </c>
      <c r="E39" s="62" t="s">
        <v>225</v>
      </c>
      <c r="F39" s="62" t="s">
        <v>75</v>
      </c>
      <c r="G39" s="65"/>
      <c r="H39" s="65"/>
      <c r="I39" s="65"/>
      <c r="J39" s="65"/>
      <c r="K39" s="65"/>
    </row>
    <row r="40" spans="1:11" s="53" customFormat="1" ht="57.6" x14ac:dyDescent="0.25">
      <c r="A40" s="60" t="s">
        <v>146</v>
      </c>
      <c r="B40" s="62" t="s">
        <v>189</v>
      </c>
      <c r="C40" s="62" t="s">
        <v>72</v>
      </c>
      <c r="D40" s="62" t="s">
        <v>190</v>
      </c>
      <c r="E40" s="62" t="s">
        <v>226</v>
      </c>
      <c r="F40" s="62" t="s">
        <v>75</v>
      </c>
      <c r="G40" s="65"/>
      <c r="H40" s="65"/>
      <c r="I40" s="65"/>
      <c r="J40" s="65"/>
      <c r="K40" s="65"/>
    </row>
    <row r="41" spans="1:11" s="53" customFormat="1" ht="57.6" x14ac:dyDescent="0.25">
      <c r="A41" s="60" t="s">
        <v>147</v>
      </c>
      <c r="B41" s="62" t="s">
        <v>191</v>
      </c>
      <c r="C41" s="62" t="s">
        <v>82</v>
      </c>
      <c r="D41" s="62" t="s">
        <v>192</v>
      </c>
      <c r="E41" s="62" t="s">
        <v>227</v>
      </c>
      <c r="F41" s="62" t="s">
        <v>75</v>
      </c>
      <c r="G41" s="65"/>
      <c r="H41" s="65"/>
      <c r="I41" s="65"/>
      <c r="J41" s="65"/>
      <c r="K41" s="65"/>
    </row>
    <row r="42" spans="1:11" s="53" customFormat="1" ht="57.6" x14ac:dyDescent="0.25">
      <c r="A42" s="60" t="s">
        <v>148</v>
      </c>
      <c r="B42" s="62" t="s">
        <v>193</v>
      </c>
      <c r="C42" s="62" t="s">
        <v>82</v>
      </c>
      <c r="D42" s="62" t="s">
        <v>194</v>
      </c>
      <c r="E42" s="62" t="s">
        <v>228</v>
      </c>
      <c r="F42" s="62" t="s">
        <v>75</v>
      </c>
      <c r="G42" s="65"/>
      <c r="H42" s="65"/>
      <c r="I42" s="65"/>
      <c r="J42" s="65"/>
      <c r="K42" s="65"/>
    </row>
    <row r="43" spans="1:11" s="53" customFormat="1" ht="57.6" x14ac:dyDescent="0.25">
      <c r="A43" s="60" t="s">
        <v>149</v>
      </c>
      <c r="B43" s="62" t="s">
        <v>195</v>
      </c>
      <c r="C43" s="62" t="s">
        <v>72</v>
      </c>
      <c r="D43" s="62" t="s">
        <v>196</v>
      </c>
      <c r="E43" s="62" t="s">
        <v>229</v>
      </c>
      <c r="F43" s="62" t="s">
        <v>75</v>
      </c>
      <c r="G43" s="65"/>
      <c r="H43" s="65"/>
      <c r="I43" s="65"/>
      <c r="J43" s="65"/>
      <c r="K43" s="65"/>
    </row>
    <row r="44" spans="1:11" s="53" customFormat="1" ht="57.6" x14ac:dyDescent="0.25">
      <c r="A44" s="60" t="s">
        <v>150</v>
      </c>
      <c r="B44" s="62" t="s">
        <v>197</v>
      </c>
      <c r="C44" s="62" t="s">
        <v>82</v>
      </c>
      <c r="D44" s="62" t="s">
        <v>198</v>
      </c>
      <c r="E44" s="62" t="s">
        <v>230</v>
      </c>
      <c r="F44" s="62" t="s">
        <v>75</v>
      </c>
      <c r="G44" s="65"/>
      <c r="H44" s="65"/>
      <c r="I44" s="65"/>
      <c r="J44" s="65"/>
      <c r="K44" s="65"/>
    </row>
    <row r="45" spans="1:11" s="53" customFormat="1" ht="57.6" x14ac:dyDescent="0.25">
      <c r="A45" s="60" t="s">
        <v>151</v>
      </c>
      <c r="B45" s="62" t="s">
        <v>199</v>
      </c>
      <c r="C45" s="62" t="s">
        <v>82</v>
      </c>
      <c r="D45" s="62" t="s">
        <v>200</v>
      </c>
      <c r="E45" s="62" t="s">
        <v>231</v>
      </c>
      <c r="F45" s="62" t="s">
        <v>75</v>
      </c>
      <c r="G45" s="65"/>
      <c r="H45" s="65"/>
      <c r="I45" s="65"/>
      <c r="J45" s="65"/>
      <c r="K45" s="65"/>
    </row>
    <row r="46" spans="1:11" s="53" customFormat="1" ht="57.6" x14ac:dyDescent="0.25">
      <c r="A46" s="60" t="s">
        <v>152</v>
      </c>
      <c r="B46" s="62" t="s">
        <v>201</v>
      </c>
      <c r="C46" s="62" t="s">
        <v>72</v>
      </c>
      <c r="D46" s="62" t="s">
        <v>202</v>
      </c>
      <c r="E46" s="62" t="s">
        <v>232</v>
      </c>
      <c r="F46" s="62" t="s">
        <v>75</v>
      </c>
      <c r="G46" s="65"/>
      <c r="H46" s="65"/>
      <c r="I46" s="65"/>
      <c r="J46" s="65"/>
      <c r="K46" s="65"/>
    </row>
    <row r="47" spans="1:11" s="53" customFormat="1" ht="57.6" x14ac:dyDescent="0.25">
      <c r="A47" s="60" t="s">
        <v>153</v>
      </c>
      <c r="B47" s="62" t="s">
        <v>203</v>
      </c>
      <c r="C47" s="62" t="s">
        <v>94</v>
      </c>
      <c r="D47" s="62" t="s">
        <v>204</v>
      </c>
      <c r="E47" s="62" t="s">
        <v>233</v>
      </c>
      <c r="F47" s="62" t="s">
        <v>75</v>
      </c>
      <c r="G47" s="65"/>
      <c r="H47" s="65"/>
      <c r="I47" s="65"/>
      <c r="J47" s="65"/>
      <c r="K47" s="65"/>
    </row>
    <row r="48" spans="1:11" s="53" customFormat="1" ht="57.6" x14ac:dyDescent="0.25">
      <c r="A48" s="60" t="s">
        <v>154</v>
      </c>
      <c r="B48" s="62" t="s">
        <v>205</v>
      </c>
      <c r="C48" s="62" t="s">
        <v>72</v>
      </c>
      <c r="D48" s="62" t="s">
        <v>206</v>
      </c>
      <c r="E48" s="62" t="s">
        <v>234</v>
      </c>
      <c r="F48" s="62" t="s">
        <v>246</v>
      </c>
      <c r="G48" s="65"/>
      <c r="H48" s="65"/>
      <c r="I48" s="65"/>
      <c r="J48" s="65"/>
      <c r="K48" s="65"/>
    </row>
    <row r="49" spans="1:11" s="53" customFormat="1" ht="57.6" x14ac:dyDescent="0.25">
      <c r="A49" s="60" t="s">
        <v>155</v>
      </c>
      <c r="B49" s="62" t="s">
        <v>207</v>
      </c>
      <c r="C49" s="62" t="s">
        <v>72</v>
      </c>
      <c r="D49" s="62" t="s">
        <v>208</v>
      </c>
      <c r="E49" s="62" t="s">
        <v>235</v>
      </c>
      <c r="F49" s="62" t="s">
        <v>246</v>
      </c>
      <c r="G49" s="65"/>
      <c r="H49" s="65"/>
      <c r="I49" s="65"/>
      <c r="J49" s="65"/>
      <c r="K49" s="65"/>
    </row>
    <row r="50" spans="1:11" s="53" customFormat="1" ht="57.6" x14ac:dyDescent="0.25">
      <c r="A50" s="60" t="s">
        <v>156</v>
      </c>
      <c r="B50" s="62" t="s">
        <v>209</v>
      </c>
      <c r="C50" s="62" t="s">
        <v>82</v>
      </c>
      <c r="D50" s="62" t="s">
        <v>210</v>
      </c>
      <c r="E50" s="62" t="s">
        <v>236</v>
      </c>
      <c r="F50" s="62" t="s">
        <v>246</v>
      </c>
      <c r="G50" s="65"/>
      <c r="H50" s="65"/>
      <c r="I50" s="65"/>
      <c r="J50" s="65"/>
      <c r="K50" s="65"/>
    </row>
    <row r="51" spans="1:11" s="53" customFormat="1" ht="57.6" x14ac:dyDescent="0.25">
      <c r="A51" s="60" t="s">
        <v>157</v>
      </c>
      <c r="B51" s="62" t="s">
        <v>211</v>
      </c>
      <c r="C51" s="62" t="s">
        <v>72</v>
      </c>
      <c r="D51" s="62" t="s">
        <v>212</v>
      </c>
      <c r="E51" s="62" t="s">
        <v>237</v>
      </c>
      <c r="F51" s="62" t="s">
        <v>75</v>
      </c>
      <c r="G51" s="65"/>
      <c r="H51" s="65"/>
      <c r="I51" s="65"/>
      <c r="J51" s="65"/>
      <c r="K51" s="65"/>
    </row>
    <row r="52" spans="1:11" s="53" customFormat="1" ht="57.6" x14ac:dyDescent="0.25">
      <c r="A52" s="60" t="s">
        <v>158</v>
      </c>
      <c r="B52" s="62" t="s">
        <v>213</v>
      </c>
      <c r="C52" s="62" t="s">
        <v>72</v>
      </c>
      <c r="D52" s="62" t="s">
        <v>214</v>
      </c>
      <c r="E52" s="62" t="s">
        <v>238</v>
      </c>
      <c r="F52" s="62" t="s">
        <v>75</v>
      </c>
      <c r="G52" s="65"/>
      <c r="H52" s="65"/>
      <c r="I52" s="65"/>
      <c r="J52" s="65"/>
      <c r="K52" s="65"/>
    </row>
    <row r="53" spans="1:11" s="53" customFormat="1" ht="28.8" x14ac:dyDescent="0.25">
      <c r="A53" s="60" t="s">
        <v>159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</row>
    <row r="54" spans="1:11" s="53" customFormat="1" ht="28.8" x14ac:dyDescent="0.25">
      <c r="A54" s="60" t="s">
        <v>160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</row>
    <row r="55" spans="1:11" s="53" customFormat="1" ht="28.8" x14ac:dyDescent="0.25">
      <c r="A55" s="60" t="s">
        <v>161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</row>
    <row r="56" spans="1:11" s="53" customFormat="1" ht="28.8" x14ac:dyDescent="0.25">
      <c r="A56" s="60" t="s">
        <v>162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</row>
    <row r="57" spans="1:11" s="53" customFormat="1" ht="28.8" x14ac:dyDescent="0.25">
      <c r="A57" s="60" t="s">
        <v>163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</row>
    <row r="58" spans="1:11" s="53" customFormat="1" ht="28.8" x14ac:dyDescent="0.25">
      <c r="A58" s="60" t="s">
        <v>164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</row>
    <row r="59" spans="1:11" s="53" customFormat="1" ht="28.8" x14ac:dyDescent="0.25">
      <c r="A59" s="60" t="s">
        <v>165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</row>
    <row r="60" spans="1:11" s="53" customFormat="1" ht="28.8" x14ac:dyDescent="0.25">
      <c r="A60" s="60" t="s">
        <v>166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</row>
    <row r="61" spans="1:11" x14ac:dyDescent="0.25">
      <c r="G61" s="27"/>
      <c r="H61" s="27"/>
      <c r="I61" s="27"/>
      <c r="J61" s="27"/>
      <c r="K61" s="27"/>
    </row>
    <row r="62" spans="1:11" x14ac:dyDescent="0.25">
      <c r="G62" s="27"/>
      <c r="H62" s="27"/>
      <c r="I62" s="27"/>
      <c r="J62" s="27"/>
      <c r="K62" s="27"/>
    </row>
  </sheetData>
  <mergeCells count="3">
    <mergeCell ref="A6:K6"/>
    <mergeCell ref="G3:K5"/>
    <mergeCell ref="G1:K2"/>
  </mergeCells>
  <phoneticPr fontId="26" type="noConversion"/>
  <printOptions horizontalCentered="1" verticalCentered="1"/>
  <pageMargins left="0.19685039370078741" right="0.19685039370078741" top="0.48" bottom="0.52" header="0.28000000000000003" footer="0.26"/>
  <pageSetup scale="54" firstPageNumber="0" orientation="landscape" horizontalDpi="300" verticalDpi="300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  <pageSetUpPr fitToPage="1"/>
  </sheetPr>
  <dimension ref="A1:C14"/>
  <sheetViews>
    <sheetView zoomScale="85" zoomScaleNormal="85" workbookViewId="0">
      <selection activeCell="C11" sqref="C11"/>
    </sheetView>
  </sheetViews>
  <sheetFormatPr baseColWidth="10" defaultColWidth="10.77734375" defaultRowHeight="14.4" x14ac:dyDescent="0.35"/>
  <cols>
    <col min="1" max="1" width="12.6640625" style="1" customWidth="1"/>
    <col min="2" max="2" width="32.6640625" style="1" customWidth="1"/>
    <col min="3" max="3" width="59.6640625" style="1" customWidth="1"/>
    <col min="4" max="16384" width="10.77734375" style="1"/>
  </cols>
  <sheetData>
    <row r="1" spans="1:3" s="4" customFormat="1" ht="30" customHeight="1" thickBot="1" x14ac:dyDescent="0.3">
      <c r="A1" s="6" t="s">
        <v>16</v>
      </c>
      <c r="B1" s="5" t="s">
        <v>17</v>
      </c>
    </row>
    <row r="2" spans="1:3" ht="16.05" customHeight="1" thickTop="1" x14ac:dyDescent="0.35">
      <c r="A2" s="2" t="s">
        <v>40</v>
      </c>
    </row>
    <row r="3" spans="1:3" ht="15" thickBot="1" x14ac:dyDescent="0.4">
      <c r="A3" s="13"/>
      <c r="B3" s="14"/>
      <c r="C3" s="14"/>
    </row>
    <row r="4" spans="1:3" ht="30" customHeight="1" thickBot="1" x14ac:dyDescent="0.4">
      <c r="A4" s="7" t="s">
        <v>1</v>
      </c>
      <c r="B4" s="8" t="s">
        <v>2</v>
      </c>
      <c r="C4" s="9" t="s">
        <v>6</v>
      </c>
    </row>
    <row r="5" spans="1:3" ht="40.049999999999997" customHeight="1" x14ac:dyDescent="0.35">
      <c r="A5" s="12" t="s">
        <v>4</v>
      </c>
      <c r="B5" s="25" t="s">
        <v>56</v>
      </c>
      <c r="C5" s="26" t="s">
        <v>57</v>
      </c>
    </row>
    <row r="6" spans="1:3" ht="40.049999999999997" customHeight="1" x14ac:dyDescent="0.35">
      <c r="A6" s="10" t="s">
        <v>7</v>
      </c>
      <c r="B6" s="10"/>
      <c r="C6" s="11"/>
    </row>
    <row r="7" spans="1:3" ht="40.049999999999997" customHeight="1" x14ac:dyDescent="0.35">
      <c r="A7" s="10" t="s">
        <v>8</v>
      </c>
      <c r="B7" s="10"/>
      <c r="C7" s="11"/>
    </row>
    <row r="8" spans="1:3" ht="40.049999999999997" customHeight="1" x14ac:dyDescent="0.35">
      <c r="A8" s="10" t="s">
        <v>9</v>
      </c>
      <c r="B8" s="10"/>
      <c r="C8" s="11"/>
    </row>
    <row r="9" spans="1:3" ht="40.049999999999997" customHeight="1" x14ac:dyDescent="0.35">
      <c r="A9" s="10" t="s">
        <v>10</v>
      </c>
      <c r="B9" s="10"/>
      <c r="C9" s="11"/>
    </row>
    <row r="10" spans="1:3" ht="40.049999999999997" customHeight="1" x14ac:dyDescent="0.35">
      <c r="A10" s="10" t="s">
        <v>11</v>
      </c>
      <c r="B10" s="10"/>
      <c r="C10" s="11"/>
    </row>
    <row r="11" spans="1:3" ht="40.049999999999997" customHeight="1" x14ac:dyDescent="0.35">
      <c r="A11" s="10" t="s">
        <v>12</v>
      </c>
      <c r="B11" s="10"/>
      <c r="C11" s="11"/>
    </row>
    <row r="12" spans="1:3" ht="40.049999999999997" customHeight="1" x14ac:dyDescent="0.35">
      <c r="A12" s="10" t="s">
        <v>13</v>
      </c>
      <c r="B12" s="10"/>
      <c r="C12" s="11"/>
    </row>
    <row r="13" spans="1:3" ht="40.049999999999997" customHeight="1" x14ac:dyDescent="0.35">
      <c r="A13" s="10" t="s">
        <v>14</v>
      </c>
      <c r="B13" s="10"/>
      <c r="C13" s="11"/>
    </row>
    <row r="14" spans="1:3" ht="40.049999999999997" customHeight="1" x14ac:dyDescent="0.35">
      <c r="A14" s="10" t="s">
        <v>15</v>
      </c>
      <c r="B14" s="10"/>
      <c r="C14" s="11"/>
    </row>
  </sheetData>
  <pageMargins left="0.74791666666666667" right="0.74791666666666667" top="0.98402777777777772" bottom="0.98402777777777772" header="0.51180555555555551" footer="0.51180555555555551"/>
  <pageSetup scale="98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  <pageSetUpPr fitToPage="1"/>
  </sheetPr>
  <dimension ref="A1:C14"/>
  <sheetViews>
    <sheetView workbookViewId="0">
      <selection activeCell="E8" sqref="E8"/>
    </sheetView>
  </sheetViews>
  <sheetFormatPr baseColWidth="10" defaultColWidth="10.77734375" defaultRowHeight="13.2" x14ac:dyDescent="0.25"/>
  <cols>
    <col min="1" max="1" width="12.6640625" customWidth="1"/>
    <col min="2" max="2" width="21" customWidth="1"/>
    <col min="3" max="3" width="76.33203125" customWidth="1"/>
  </cols>
  <sheetData>
    <row r="1" spans="1:3" s="17" customFormat="1" ht="30" customHeight="1" thickBot="1" x14ac:dyDescent="0.3">
      <c r="A1" s="18" t="s">
        <v>19</v>
      </c>
      <c r="B1" s="24" t="s">
        <v>39</v>
      </c>
    </row>
    <row r="2" spans="1:3" ht="16.05" customHeight="1" thickTop="1" x14ac:dyDescent="0.3">
      <c r="A2" s="2" t="s">
        <v>58</v>
      </c>
    </row>
    <row r="3" spans="1:3" ht="13.8" thickBot="1" x14ac:dyDescent="0.3">
      <c r="A3" s="15"/>
      <c r="B3" s="16"/>
      <c r="C3" s="16"/>
    </row>
    <row r="4" spans="1:3" ht="30" customHeight="1" thickBot="1" x14ac:dyDescent="0.3">
      <c r="A4" s="21" t="s">
        <v>42</v>
      </c>
      <c r="B4" s="22" t="s">
        <v>41</v>
      </c>
      <c r="C4" s="23" t="s">
        <v>0</v>
      </c>
    </row>
    <row r="5" spans="1:3" ht="40.049999999999997" customHeight="1" x14ac:dyDescent="0.25">
      <c r="A5" s="20" t="s">
        <v>5</v>
      </c>
      <c r="B5" s="20"/>
      <c r="C5" s="20"/>
    </row>
    <row r="6" spans="1:3" ht="40.049999999999997" customHeight="1" x14ac:dyDescent="0.25">
      <c r="A6" s="19" t="s">
        <v>20</v>
      </c>
      <c r="B6" s="20"/>
      <c r="C6" s="19"/>
    </row>
    <row r="7" spans="1:3" ht="40.049999999999997" customHeight="1" x14ac:dyDescent="0.25">
      <c r="A7" s="19" t="s">
        <v>21</v>
      </c>
      <c r="B7" s="19"/>
      <c r="C7" s="19"/>
    </row>
    <row r="8" spans="1:3" ht="40.049999999999997" customHeight="1" x14ac:dyDescent="0.25">
      <c r="A8" s="19" t="s">
        <v>22</v>
      </c>
      <c r="B8" s="3"/>
      <c r="C8" s="3"/>
    </row>
    <row r="9" spans="1:3" ht="40.049999999999997" customHeight="1" x14ac:dyDescent="0.25">
      <c r="A9" s="19" t="s">
        <v>23</v>
      </c>
      <c r="B9" s="3"/>
      <c r="C9" s="3"/>
    </row>
    <row r="10" spans="1:3" ht="40.049999999999997" customHeight="1" x14ac:dyDescent="0.25">
      <c r="A10" s="19" t="s">
        <v>24</v>
      </c>
      <c r="B10" s="3"/>
      <c r="C10" s="3"/>
    </row>
    <row r="11" spans="1:3" ht="40.049999999999997" customHeight="1" x14ac:dyDescent="0.25">
      <c r="A11" s="19" t="s">
        <v>25</v>
      </c>
      <c r="B11" s="3"/>
      <c r="C11" s="3"/>
    </row>
    <row r="12" spans="1:3" ht="40.049999999999997" customHeight="1" x14ac:dyDescent="0.25">
      <c r="A12" s="19" t="s">
        <v>26</v>
      </c>
      <c r="B12" s="3"/>
      <c r="C12" s="3"/>
    </row>
    <row r="13" spans="1:3" ht="40.049999999999997" customHeight="1" x14ac:dyDescent="0.25">
      <c r="A13" s="19" t="s">
        <v>27</v>
      </c>
      <c r="B13" s="3"/>
      <c r="C13" s="3"/>
    </row>
    <row r="14" spans="1:3" ht="40.049999999999997" customHeight="1" x14ac:dyDescent="0.25">
      <c r="A14" s="19" t="s">
        <v>28</v>
      </c>
      <c r="B14" s="3"/>
      <c r="C14" s="3"/>
    </row>
  </sheetData>
  <pageMargins left="0.74791666666666667" right="0.74791666666666667" top="0.98402777777777772" bottom="0.98402777777777772" header="0.51180555555555551" footer="0.51180555555555551"/>
  <pageSetup scale="99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Requerimientos</vt:lpstr>
      <vt:lpstr>Actores</vt:lpstr>
      <vt:lpstr>Conceptos</vt:lpstr>
      <vt:lpstr>Excel_BuiltIn__FilterDatabase_6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Mateo Salazar Bogota</cp:lastModifiedBy>
  <cp:revision>97</cp:revision>
  <cp:lastPrinted>2023-01-25T22:35:02Z</cp:lastPrinted>
  <dcterms:created xsi:type="dcterms:W3CDTF">2005-02-16T13:56:51Z</dcterms:created>
  <dcterms:modified xsi:type="dcterms:W3CDTF">2026-08-27T01:55:05Z</dcterms:modified>
</cp:coreProperties>
</file>